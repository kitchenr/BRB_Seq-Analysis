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t/Desktop/Muegge_Lab/projects/JL006_Bart_Chir_ValAcid/FullRun/"/>
    </mc:Choice>
  </mc:AlternateContent>
  <xr:revisionPtr revIDLastSave="0" documentId="13_ncr:1_{EFBE1DDB-2E2D-B547-9310-849E104CB0BB}" xr6:coauthVersionLast="47" xr6:coauthVersionMax="47" xr10:uidLastSave="{00000000-0000-0000-0000-000000000000}"/>
  <bookViews>
    <workbookView xWindow="8860" yWindow="760" windowWidth="25700" windowHeight="20180" activeTab="5" xr2:uid="{41CE7CED-E0CD-8B48-B9FD-F8D879077AAC}"/>
  </bookViews>
  <sheets>
    <sheet name="Overview" sheetId="9" r:id="rId1"/>
    <sheet name="Reverse Transcription" sheetId="1" r:id="rId2"/>
    <sheet name="Pooling, Cleanup &amp; SSS" sheetId="2" r:id="rId3"/>
    <sheet name="Tagmentation" sheetId="5" r:id="rId4"/>
    <sheet name="Alithea Barcodes" sheetId="8" r:id="rId5"/>
    <sheet name="Mapping_File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B25" i="5"/>
  <c r="E24" i="1" l="1"/>
  <c r="E45" i="1"/>
  <c r="E71" i="1"/>
  <c r="E94" i="1"/>
  <c r="E95" i="1"/>
  <c r="E96" i="1"/>
  <c r="E9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D30" i="5" l="1"/>
  <c r="C30" i="5"/>
  <c r="B30" i="5"/>
  <c r="A30" i="5"/>
  <c r="E25" i="5"/>
  <c r="C25" i="5"/>
  <c r="J3" i="8"/>
  <c r="J4" i="8"/>
  <c r="J5" i="8"/>
  <c r="J2" i="8"/>
  <c r="G3" i="8"/>
  <c r="G4" i="8"/>
  <c r="G5" i="8"/>
  <c r="G2" i="8"/>
  <c r="B33" i="2"/>
  <c r="E30" i="5" l="1"/>
  <c r="B3" i="5"/>
  <c r="B5" i="2" l="1"/>
  <c r="B6" i="2" s="1"/>
  <c r="B8" i="2" s="1"/>
  <c r="B9" i="2" s="1"/>
  <c r="B7" i="2" l="1"/>
  <c r="C7" i="2" s="1"/>
  <c r="C9" i="2"/>
  <c r="B20" i="2" l="1"/>
  <c r="B19" i="2"/>
  <c r="B18" i="2"/>
  <c r="B26" i="2"/>
  <c r="B27" i="2"/>
  <c r="B21" i="2" l="1"/>
  <c r="B28" i="2"/>
</calcChain>
</file>

<file path=xl/sharedStrings.xml><?xml version="1.0" encoding="utf-8"?>
<sst xmlns="http://schemas.openxmlformats.org/spreadsheetml/2006/main" count="814" uniqueCount="393">
  <si>
    <t>Project_Number</t>
  </si>
  <si>
    <t>Project_Name</t>
  </si>
  <si>
    <t>Year</t>
  </si>
  <si>
    <t>RT_Month</t>
  </si>
  <si>
    <t>RT_Date</t>
  </si>
  <si>
    <t>RT_Plate_Name</t>
  </si>
  <si>
    <t>RT_Plate_Storage</t>
  </si>
  <si>
    <t>SecondStrand_Month</t>
  </si>
  <si>
    <t>SecondStrand_Date</t>
  </si>
  <si>
    <t>SecondStrand_Pool_Name</t>
  </si>
  <si>
    <t>SecondStrand_Pool_Storage</t>
  </si>
  <si>
    <t>Tagmentation_Month</t>
  </si>
  <si>
    <t>Tagmentation_Date</t>
  </si>
  <si>
    <t>Tagmentation_Pool_Name</t>
  </si>
  <si>
    <t>Tagmentation_Pool_Storage</t>
  </si>
  <si>
    <t>SpikeIn_Submission_Date</t>
  </si>
  <si>
    <t>Spikein_Results_Location</t>
  </si>
  <si>
    <t>GTAC_Submission_Date</t>
  </si>
  <si>
    <t>GTAC_Results_Location</t>
  </si>
  <si>
    <t>Sample Number</t>
  </si>
  <si>
    <t>Well Location</t>
  </si>
  <si>
    <t>Sample Name</t>
  </si>
  <si>
    <t>Sample Concentration (ng/uL)</t>
  </si>
  <si>
    <t>Alithea Barcodes</t>
  </si>
  <si>
    <t>01</t>
  </si>
  <si>
    <t>A01</t>
  </si>
  <si>
    <t>02</t>
  </si>
  <si>
    <t>B01</t>
  </si>
  <si>
    <t>03</t>
  </si>
  <si>
    <t>C01</t>
  </si>
  <si>
    <t>04</t>
  </si>
  <si>
    <t>D01</t>
  </si>
  <si>
    <t>05</t>
  </si>
  <si>
    <t>E01</t>
  </si>
  <si>
    <t>06</t>
  </si>
  <si>
    <t>F01</t>
  </si>
  <si>
    <t>07</t>
  </si>
  <si>
    <t>G01</t>
  </si>
  <si>
    <t>08</t>
  </si>
  <si>
    <t>H01</t>
  </si>
  <si>
    <t>09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</si>
  <si>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</si>
  <si>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</si>
  <si>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</si>
  <si>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</si>
  <si>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</si>
  <si>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</si>
  <si>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</si>
  <si>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</si>
  <si>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</si>
  <si>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</si>
  <si>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</si>
  <si>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</si>
  <si>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</si>
  <si>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</si>
  <si>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</si>
  <si>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</si>
  <si>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</si>
  <si>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</si>
  <si>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</si>
  <si>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</si>
  <si>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</si>
  <si>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</si>
  <si>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</si>
  <si>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</si>
  <si>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</si>
  <si>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</si>
  <si>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</si>
  <si>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</si>
  <si>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</si>
  <si>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</si>
  <si>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</si>
  <si>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</si>
  <si>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</si>
  <si>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</si>
  <si>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</si>
  <si>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</si>
  <si>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</si>
  <si>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</si>
  <si>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</si>
  <si>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</si>
  <si>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</si>
  <si>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</si>
  <si>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</si>
  <si>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</si>
  <si>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</si>
  <si>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</si>
  <si>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</si>
  <si>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</si>
  <si>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</si>
  <si>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</si>
  <si>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</si>
  <si>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</si>
  <si>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</si>
  <si>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</si>
  <si>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</si>
  <si>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</si>
  <si>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</si>
  <si>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</si>
  <si>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</si>
  <si>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</si>
  <si>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</si>
  <si>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</si>
  <si>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</si>
  <si>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</si>
  <si>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</si>
  <si>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</si>
  <si>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</si>
  <si>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</si>
  <si>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</si>
  <si>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</si>
  <si>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</si>
  <si>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</si>
  <si>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</si>
  <si>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</si>
  <si>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</si>
  <si>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</si>
  <si>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</si>
  <si>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</si>
  <si>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</si>
  <si>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</si>
  <si>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</si>
  <si>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</si>
  <si>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</si>
  <si>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</si>
  <si>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</si>
  <si>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</si>
  <si>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</si>
  <si>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</si>
  <si>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 xml:space="preserve">2.2. Samples pooling and column purification </t>
  </si>
  <si>
    <t>Number of Samples</t>
  </si>
  <si>
    <t>Average NG in RT reaction</t>
  </si>
  <si>
    <t>Volume of RT Reaction Pooled</t>
  </si>
  <si>
    <t>Total Sample Volume Pooled (uL)</t>
  </si>
  <si>
    <t>Nominal ng in Pool</t>
  </si>
  <si>
    <t>Volume of DNA Binding Buffer (uL)</t>
  </si>
  <si>
    <t>Total Volume (uL)</t>
  </si>
  <si>
    <t>Number of Columns to use</t>
  </si>
  <si>
    <t>Load up to 800 uL into the column. Repeat loading as needed. If using two columns, load half the total volume into each column</t>
  </si>
  <si>
    <t>Use 20 uL of nuclease free water in each column for the final elution. If using two columns, pool the elutions into a single tube (40 uL total)</t>
  </si>
  <si>
    <t>2.3. Free primer digestion</t>
  </si>
  <si>
    <t>Type of Cleanup</t>
  </si>
  <si>
    <t>Column</t>
  </si>
  <si>
    <t>cDNA Transfer Volume</t>
  </si>
  <si>
    <t>EXB per reaction</t>
  </si>
  <si>
    <t>EXO per reaction</t>
  </si>
  <si>
    <t>Total EXB/EXO per reaction</t>
  </si>
  <si>
    <t>2.4. Second strand synthesis</t>
  </si>
  <si>
    <t>Reagent</t>
  </si>
  <si>
    <t>Volume</t>
  </si>
  <si>
    <t>SSB</t>
  </si>
  <si>
    <t>SSE</t>
  </si>
  <si>
    <t>Total</t>
  </si>
  <si>
    <t xml:space="preserve">2.4.17. </t>
  </si>
  <si>
    <t>Qubit HS dsDNA Concentration</t>
  </si>
  <si>
    <t>Total cDNA Yield (ng)</t>
  </si>
  <si>
    <t>2.5. Tagmentation</t>
  </si>
  <si>
    <t>Volume of cDNA added (20ng)</t>
  </si>
  <si>
    <t>Volume of NFW added</t>
  </si>
  <si>
    <t>Volume of TAB added</t>
  </si>
  <si>
    <t>Volume of TE added</t>
  </si>
  <si>
    <t>Total Volume</t>
  </si>
  <si>
    <t>20 uL</t>
  </si>
  <si>
    <t xml:space="preserve">2.6. Library indexing and amplification </t>
  </si>
  <si>
    <t xml:space="preserve">MQ.UDI Adapter </t>
  </si>
  <si>
    <t>MQ.UDI.4</t>
  </si>
  <si>
    <t xml:space="preserve">Amount of PCR cycles </t>
  </si>
  <si>
    <t xml:space="preserve">2.7. Library quality control </t>
  </si>
  <si>
    <t>Tapestation_File</t>
  </si>
  <si>
    <t>%_LessThan_300</t>
  </si>
  <si>
    <t>%_300_1000</t>
  </si>
  <si>
    <t>Mean_BP</t>
  </si>
  <si>
    <t>Qubit HS Concentration</t>
  </si>
  <si>
    <t>Library Information</t>
  </si>
  <si>
    <t>Spike In Information</t>
  </si>
  <si>
    <t>Sample name</t>
  </si>
  <si>
    <t xml:space="preserve"> Index 1 Index Name (i7)</t>
  </si>
  <si>
    <t>Index 2 name (if used; i5)</t>
  </si>
  <si>
    <t xml:space="preserve"> Index 1 Sequence</t>
  </si>
  <si>
    <t>Index 2 sequence</t>
  </si>
  <si>
    <t>GTAC Information</t>
  </si>
  <si>
    <t>Index1 or Pair Name</t>
  </si>
  <si>
    <t>Index2 Name</t>
  </si>
  <si>
    <t>i7 (Index 1) Sequence</t>
  </si>
  <si>
    <t>i5 (Index 2)_workflow_a</t>
  </si>
  <si>
    <t>Tag Sequence (combined indexes)</t>
  </si>
  <si>
    <t>Alithea Barcode</t>
  </si>
  <si>
    <t>Alithea_Plate_Number</t>
  </si>
  <si>
    <t>Alithea_UDI_Name</t>
  </si>
  <si>
    <t>CGSSC_i7_Name</t>
  </si>
  <si>
    <t>CGSSC_Full_i7_Name</t>
  </si>
  <si>
    <t>i7_Index_8base</t>
  </si>
  <si>
    <t>CGSSB_i5_Name</t>
  </si>
  <si>
    <t>i5_Index_8base_Forward</t>
  </si>
  <si>
    <t>i5_Index_8base_Reverse</t>
  </si>
  <si>
    <t>MQ.UDI.1</t>
  </si>
  <si>
    <t>N701</t>
  </si>
  <si>
    <t>TAAGGCGA</t>
  </si>
  <si>
    <t>D501</t>
  </si>
  <si>
    <t>TATAGCCT</t>
  </si>
  <si>
    <t>AGGCTATAGT</t>
  </si>
  <si>
    <t>MQ.UDI.2</t>
  </si>
  <si>
    <t>N702</t>
  </si>
  <si>
    <t>CGTACTAG</t>
  </si>
  <si>
    <t>D502</t>
  </si>
  <si>
    <t>ATAGAGGC</t>
  </si>
  <si>
    <t>GCCTCTATGT</t>
  </si>
  <si>
    <t>MQ.UDI.3</t>
  </si>
  <si>
    <t>N703</t>
  </si>
  <si>
    <t>AGGCAGAA</t>
  </si>
  <si>
    <t>D503</t>
  </si>
  <si>
    <t>CCTATCCT</t>
  </si>
  <si>
    <t>AGGATAGGGT</t>
  </si>
  <si>
    <t>N704</t>
  </si>
  <si>
    <t>GCGTTGGA</t>
  </si>
  <si>
    <t>D504</t>
  </si>
  <si>
    <t>TTGGACTT</t>
  </si>
  <si>
    <t>TTGGACTTGT</t>
  </si>
  <si>
    <t>SampleName</t>
  </si>
  <si>
    <t>Group</t>
  </si>
  <si>
    <t>Barcode</t>
  </si>
  <si>
    <t>Index1</t>
  </si>
  <si>
    <t>Index2</t>
  </si>
  <si>
    <t>AATGCGGCTTGACC</t>
  </si>
  <si>
    <t>ATGGTAATCCAAGG</t>
  </si>
  <si>
    <t>ACTGTGCAGCTGAG</t>
  </si>
  <si>
    <t>AACCGCCGAGAAGG</t>
  </si>
  <si>
    <t>CACATGTATGCACA</t>
  </si>
  <si>
    <t>CAAGCCAAGGCGAA</t>
  </si>
  <si>
    <t>ACCGCTCCTACAAG</t>
  </si>
  <si>
    <t>CCACTTAACTCTGC</t>
  </si>
  <si>
    <t>AACCTAGAACCGCG</t>
  </si>
  <si>
    <t>CATCTCATAGTGAG</t>
  </si>
  <si>
    <t>CCAACCTGGAGAAG</t>
  </si>
  <si>
    <t>CTCCGAACCAGTAC</t>
  </si>
  <si>
    <t>ACACTAGTGCATGA</t>
  </si>
  <si>
    <t>CACTACTACAGTGC</t>
  </si>
  <si>
    <t>AAGAAGCCATAAGG</t>
  </si>
  <si>
    <t>CACAGCACTCGACA</t>
  </si>
  <si>
    <t>CTCCAATGCCATAA</t>
  </si>
  <si>
    <t>CCTAAGAACCACAC</t>
  </si>
  <si>
    <t>CAACCTGGTGGCAA</t>
  </si>
  <si>
    <t>ACTGGAATTGGAGC</t>
  </si>
  <si>
    <t>CAACGTGCCATGCG</t>
  </si>
  <si>
    <t>CCTACCAGTATGGC</t>
  </si>
  <si>
    <t>TAGAAGCTTATTGG</t>
  </si>
  <si>
    <t>CTAGCTCTCGTCAG</t>
  </si>
  <si>
    <t>TCCGTAACCGTTCA</t>
  </si>
  <si>
    <t>ATACGATCGCTACG</t>
  </si>
  <si>
    <t>AACCGGTTGTTAGC</t>
  </si>
  <si>
    <t>AAGCGCTCTCCAGG</t>
  </si>
  <si>
    <t>TAGGTGAGGCTTGG</t>
  </si>
  <si>
    <t>TCAGCGCCGTATGG</t>
  </si>
  <si>
    <t>CTCCATAACTGCCA</t>
  </si>
  <si>
    <t>CACATAGTCGACGA</t>
  </si>
  <si>
    <t>ATAGTCACTAGCAC</t>
  </si>
  <si>
    <t>CAACGGAAGTGAAG</t>
  </si>
  <si>
    <t>AACCTAGAGAACAA</t>
  </si>
  <si>
    <t>TAATGCACTGCGCC</t>
  </si>
  <si>
    <t>TTGTCGCCGAGACC</t>
  </si>
  <si>
    <t>ACGAGACGTAGCGC</t>
  </si>
  <si>
    <t>CACGACACATAGAC</t>
  </si>
  <si>
    <t>ATCTGCTGTCGCAC</t>
  </si>
  <si>
    <t>ACGCAGTATATGAC</t>
  </si>
  <si>
    <t>CAGATCTAGACTGA</t>
  </si>
  <si>
    <t>CTATGTAGACAGAG</t>
  </si>
  <si>
    <t>CTGCTGCTAGGAAC</t>
  </si>
  <si>
    <t>TAGACACGTACTCA</t>
  </si>
  <si>
    <t>ACAACGAAGGTTCC</t>
  </si>
  <si>
    <t>ACAAGTTCGGAACC</t>
  </si>
  <si>
    <t>CAGGTTAACCGTAC</t>
  </si>
  <si>
    <t>TCATACCGAATTGA</t>
  </si>
  <si>
    <t>CCTCTAATGGCCGC</t>
  </si>
  <si>
    <t>TCAGTCGAGATAGA</t>
  </si>
  <si>
    <t>CACAGTCGTAGTCG</t>
  </si>
  <si>
    <t>TAGTCTATGTGAGC</t>
  </si>
  <si>
    <t>ACCGAAGCAACTAA</t>
  </si>
  <si>
    <t>TACAGCTCACTGAG</t>
  </si>
  <si>
    <t>TAGAGCTGAGATCA</t>
  </si>
  <si>
    <t>CACACTAGCACTGA</t>
  </si>
  <si>
    <t>CATCGATATCTAGA</t>
  </si>
  <si>
    <t>ATTGGTTCAAGTCA</t>
  </si>
  <si>
    <t>TTCCGTAGGTCTGA</t>
  </si>
  <si>
    <t>ACGACACATGCTAC</t>
  </si>
  <si>
    <t>TCGCAGCCTAGAAG</t>
  </si>
  <si>
    <t>TACGAGTACAGACA</t>
  </si>
  <si>
    <t>CTACACTACGAGAC</t>
  </si>
  <si>
    <t>CTATGCATGACGCG</t>
  </si>
  <si>
    <t>AAGTGGTTGACTAA</t>
  </si>
  <si>
    <t>ATGCATGCGTCAGA</t>
  </si>
  <si>
    <t>CCATAACCGGATCC</t>
  </si>
  <si>
    <t>ATGTTCCTGGTTGA</t>
  </si>
  <si>
    <t>ATAGACGTCGTGCG</t>
  </si>
  <si>
    <t>ACCTGGAGAGATAG</t>
  </si>
  <si>
    <t>TAGCGTTAGTGGAA</t>
  </si>
  <si>
    <t>TATTCGTTATCGGC</t>
  </si>
  <si>
    <t>CACACGTCTCGTAG</t>
  </si>
  <si>
    <t>TTGAATATCTGTCC</t>
  </si>
  <si>
    <t>TACATGCGTCTGCA</t>
  </si>
  <si>
    <t>TAATATCAAGGTCC</t>
  </si>
  <si>
    <t>CTGAGTGCTGGCCA</t>
  </si>
  <si>
    <t>ATTCTTCCTTCCAG</t>
  </si>
  <si>
    <t>CACAGCGATGTAGC</t>
  </si>
  <si>
    <t>TCTAGTCACGTCAC</t>
  </si>
  <si>
    <t>CCGAGTGCGTTAAC</t>
  </si>
  <si>
    <t>TCGATGATTCTTCC</t>
  </si>
  <si>
    <t>CTGTACTATCACAG</t>
  </si>
  <si>
    <t>CCGTAGTTGGACCG</t>
  </si>
  <si>
    <t>ATCTGACGAGTCGA</t>
  </si>
  <si>
    <t>CATATGACGAGTCA</t>
  </si>
  <si>
    <t>CTTATACACCTCAA</t>
  </si>
  <si>
    <t>AACAAGTTCGCGCG</t>
  </si>
  <si>
    <t>TACCGTCTGGAACC</t>
  </si>
  <si>
    <t>ATGGTTATGTGGCA</t>
  </si>
  <si>
    <t>TCTCGCGGTCAAGC</t>
  </si>
  <si>
    <t>AAGCATATTCATGG</t>
  </si>
  <si>
    <t>ACACGAGCGACGCA</t>
  </si>
  <si>
    <t>TTCGGCGTTGGACC</t>
  </si>
  <si>
    <t>CAGCGTATCTATCA</t>
  </si>
  <si>
    <t>96_V5B</t>
  </si>
  <si>
    <t>For repooling, enter Total Volume Pooled / Number of samples in cell B5. And then calculations are the same</t>
  </si>
  <si>
    <t xml:space="preserve">JL_008 </t>
  </si>
  <si>
    <t>JL_008 Bart EPZ</t>
  </si>
  <si>
    <t>Ileum_Control_1_2_Day</t>
  </si>
  <si>
    <t>Ileum_EPZ_1_2_Day</t>
  </si>
  <si>
    <t>Ileum_EPZ_CHIR_VPA_1_2_Day</t>
  </si>
  <si>
    <t>Ileum_EPZ_VPA_1_2_Day</t>
  </si>
  <si>
    <t>Rectum_Control_1_2_Day</t>
  </si>
  <si>
    <t>Rectum_EPZ_1_2_Day</t>
  </si>
  <si>
    <t>Rectum_EPZ_CHIR_VPA_1_2_Day</t>
  </si>
  <si>
    <t>Rectum_EPZ_VPA_1_2_Day</t>
  </si>
  <si>
    <t>Ileum_Control_2_2_Day</t>
  </si>
  <si>
    <t>Ileum_EPZ_2_2_Day</t>
  </si>
  <si>
    <t>Ileum_EPZ_CHIR_VPA_2_2_Day</t>
  </si>
  <si>
    <t>Ileum_EPZ_VPA_2_2_Day</t>
  </si>
  <si>
    <t>Rectum_Control_2_2_Day</t>
  </si>
  <si>
    <t>Rectum_EPZ_2_2_Day</t>
  </si>
  <si>
    <t>Rectum_EPZ_CHIR_VPA_2_2_Day</t>
  </si>
  <si>
    <t>Rectum_EPZ_VPA_2_2_Day</t>
  </si>
  <si>
    <t>Ileum_Control_3_2_Day</t>
  </si>
  <si>
    <t>Ileum_EPZ_3_2_Day</t>
  </si>
  <si>
    <t>Ileum_EPZ_CHIR_VPA_3_2_Day</t>
  </si>
  <si>
    <t>Ileum_EPZ_VPA_3_2_Day</t>
  </si>
  <si>
    <t>Rectum_Control_3_2_Day</t>
  </si>
  <si>
    <t>Rectum_EPZ_3_2_Day</t>
  </si>
  <si>
    <t>Rectum_EPZ_CHIR_VPA_3_2_Day</t>
  </si>
  <si>
    <t>Rectum_EPZ_VPA_3_2_Day</t>
  </si>
  <si>
    <t>Ileum_Control_1_6_Day</t>
  </si>
  <si>
    <t>Ileum_EPZ_1_6_Day</t>
  </si>
  <si>
    <t>Ileum_EPZ_CHIR_VPA_1_6_Day</t>
  </si>
  <si>
    <t>Ileum_EPZ_VPA_1_6_Day</t>
  </si>
  <si>
    <t>Rectum_Control_1_6_Day</t>
  </si>
  <si>
    <t>Rectum_EPZ_1_6_Day</t>
  </si>
  <si>
    <t>Rectum_EPZ_CHIR_VPA_1_6_Day</t>
  </si>
  <si>
    <t>Rectum_EPZ_VPA_1_6_Day</t>
  </si>
  <si>
    <t>Ileum_Control_2_6_Day</t>
  </si>
  <si>
    <t>Ileum_EPZ_2_6_Day</t>
  </si>
  <si>
    <t>Ileum_EPZ_CHIR_VPA_2_6_Day</t>
  </si>
  <si>
    <t>Ileum_EPZ_VPA_2_6_Day</t>
  </si>
  <si>
    <t>Rectum_Control_2_6_Day</t>
  </si>
  <si>
    <t>Rectum_EPZ_2_6_Day</t>
  </si>
  <si>
    <t>Rectum_EPZ_CHIR_VPA_2_6_Day</t>
  </si>
  <si>
    <t>Rectum_EPZ_VPA_2_6_Day</t>
  </si>
  <si>
    <t>Ileum_Control_3_6_Day</t>
  </si>
  <si>
    <t>Ileum_EPZ_3_6_Day</t>
  </si>
  <si>
    <t>Ileum_EPZ_CHIR_VPA_3_6_Day</t>
  </si>
  <si>
    <t>Ileum_EPZ_VPA_3_6_Day</t>
  </si>
  <si>
    <t>Rectum_Control_3_6_Day</t>
  </si>
  <si>
    <t>Rectum_EPZ_3_6_Day</t>
  </si>
  <si>
    <t>Rectum_EPZ_CHIR_VPA_3_6_Day</t>
  </si>
  <si>
    <t>Rectum_EPZ_VPA_3_6_Day</t>
  </si>
  <si>
    <t>one</t>
  </si>
  <si>
    <t>5.06 ng/ul</t>
  </si>
  <si>
    <t>795bp</t>
  </si>
  <si>
    <t>9.6nM</t>
  </si>
  <si>
    <t>Ileum_Control_6_Day</t>
  </si>
  <si>
    <t>Ileum_EPZ_6_Day</t>
  </si>
  <si>
    <t>Ileum_EPZ_CHIR_VPA_6_Day</t>
  </si>
  <si>
    <t>Ileum_EPZ_VPA_6_Day</t>
  </si>
  <si>
    <t>Rectum_Control_6_Day</t>
  </si>
  <si>
    <t>Rectum_EPZ_6_Day</t>
  </si>
  <si>
    <t>Rectum_EPZ_CHIR_VPA_6_Day</t>
  </si>
  <si>
    <t>Rectum_EPZ_VPA_6_Day</t>
  </si>
  <si>
    <t>Ileum_Control_2_Day</t>
  </si>
  <si>
    <t>Ileum_EPZ_2_Day</t>
  </si>
  <si>
    <t>Ileum_EPZ_CHIR_VPA_2_Day</t>
  </si>
  <si>
    <t>Ileum_EPZ_VPA_2_Day</t>
  </si>
  <si>
    <t>Rectum_Control_2_Day</t>
  </si>
  <si>
    <t>Rectum_EPZ_2_Day</t>
  </si>
  <si>
    <t>Rectum_EPZ_CHIR_VPA_2_Day</t>
  </si>
  <si>
    <t>Rectum_EPZ_VPA_2_Day</t>
  </si>
  <si>
    <t>/scratch/bmlab/bolszowy/projects/JL_008_EPZ/data/SpikeIn/Muegge_JL_008_Bart_EPZ_MQ-UDI-2-N702_MQ-UDI-2-D502_CGTACTAG_ATAGAGGC_S10_R1_001.fastq.gz</t>
  </si>
  <si>
    <t>/scratch/bmlab/bolszowy/projects/JL_008_EPZ/data/SpikeIn/Muegge_JL_008_Bart_EPZ_MQ-UDI-2-N702_MQ-UDI-2-D502_CGTACTAG_ATAGAGGC_S10_R2_001.fastq.gz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</si>
</sst>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"/>
    <numFmt numFmtId="166" formatCode="0.0"/>
  </numFmts>
  <fonts count="13"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2"/>
      <color rgb="FF000000"/>
      <name val="Courier"/>
      <charset val="1"/>
    </font>
    <font>
      <sz val="14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582FF"/>
        <bgColor indexed="64"/>
      </patternFill>
    </fill>
    <fill>
      <patternFill patternType="solid">
        <fgColor rgb="FFFF725D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3" borderId="0" xfId="0" applyFill="1" applyAlignment="1">
      <alignment horizontal="center"/>
    </xf>
    <xf numFmtId="2" fontId="0" fillId="0" borderId="0" xfId="0" applyNumberFormat="1"/>
    <xf numFmtId="0" fontId="7" fillId="5" borderId="0" xfId="0" applyFont="1" applyFill="1"/>
    <xf numFmtId="0" fontId="7" fillId="0" borderId="0" xfId="0" applyFont="1"/>
    <xf numFmtId="0" fontId="7" fillId="7" borderId="0" xfId="0" applyFont="1" applyFill="1"/>
    <xf numFmtId="0" fontId="7" fillId="6" borderId="0" xfId="0" applyFont="1" applyFill="1"/>
    <xf numFmtId="0" fontId="5" fillId="5" borderId="0" xfId="0" applyFont="1" applyFill="1" applyAlignment="1">
      <alignment horizontal="right"/>
    </xf>
    <xf numFmtId="0" fontId="5" fillId="0" borderId="0" xfId="0" applyFont="1"/>
    <xf numFmtId="0" fontId="5" fillId="8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66" fontId="5" fillId="0" borderId="0" xfId="0" applyNumberFormat="1" applyFont="1"/>
    <xf numFmtId="0" fontId="5" fillId="7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6" borderId="0" xfId="0" applyFont="1" applyFill="1"/>
    <xf numFmtId="0" fontId="0" fillId="9" borderId="0" xfId="0" applyFill="1"/>
    <xf numFmtId="0" fontId="7" fillId="9" borderId="0" xfId="0" applyFont="1" applyFill="1"/>
    <xf numFmtId="0" fontId="7" fillId="10" borderId="0" xfId="0" applyFont="1" applyFill="1"/>
    <xf numFmtId="0" fontId="5" fillId="5" borderId="0" xfId="0" applyFont="1" applyFill="1"/>
    <xf numFmtId="0" fontId="5" fillId="11" borderId="0" xfId="0" applyFont="1" applyFill="1"/>
    <xf numFmtId="0" fontId="7" fillId="11" borderId="0" xfId="0" applyFont="1" applyFill="1"/>
    <xf numFmtId="0" fontId="7" fillId="8" borderId="0" xfId="0" applyFont="1" applyFill="1"/>
    <xf numFmtId="0" fontId="5" fillId="12" borderId="0" xfId="0" applyFont="1" applyFill="1"/>
    <xf numFmtId="0" fontId="0" fillId="12" borderId="0" xfId="0" applyFill="1"/>
    <xf numFmtId="49" fontId="0" fillId="4" borderId="0" xfId="0" applyNumberFormat="1" applyFill="1" applyAlignment="1">
      <alignment horizontal="right"/>
    </xf>
    <xf numFmtId="0" fontId="0" fillId="4" borderId="0" xfId="0" applyFill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0" fontId="5" fillId="0" borderId="0" xfId="0" quotePrefix="1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vertical="center"/>
    </xf>
    <xf numFmtId="10" fontId="5" fillId="0" borderId="0" xfId="0" applyNumberFormat="1" applyFont="1"/>
    <xf numFmtId="0" fontId="10" fillId="0" borderId="0" xfId="0" applyFont="1"/>
    <xf numFmtId="0" fontId="11" fillId="0" borderId="0" xfId="0" applyFont="1"/>
    <xf numFmtId="49" fontId="0" fillId="0" borderId="0" xfId="0" applyNumberFormat="1" applyAlignment="1">
      <alignment horizontal="right"/>
    </xf>
    <xf numFmtId="0" fontId="12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57C2CD3A-C773-EA42-A3F1-0597FCAEC554}"/>
  </cellStyles>
  <dxfs count="0"/>
  <tableStyles count="0" defaultTableStyle="TableStyleMedium2" defaultPivotStyle="PivotStyleLight16"/>
  <colors>
    <mruColors>
      <color rgb="FFFF725D"/>
      <color rgb="FFA582FF"/>
      <color rgb="FFB164F4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E183-E213-5940-8CDE-641EAB0AF38F}">
  <dimension ref="A4:B22"/>
  <sheetViews>
    <sheetView zoomScale="110" zoomScaleNormal="110" workbookViewId="0">
      <selection activeCell="B25" sqref="B25"/>
    </sheetView>
  </sheetViews>
  <sheetFormatPr baseColWidth="10" defaultColWidth="11" defaultRowHeight="16"/>
  <cols>
    <col min="1" max="1" width="27.6640625" customWidth="1"/>
    <col min="2" max="2" width="24.5" style="37" customWidth="1"/>
    <col min="3" max="19" width="10.83203125" customWidth="1"/>
  </cols>
  <sheetData>
    <row r="4" spans="1:2" ht="19">
      <c r="A4" s="12" t="s">
        <v>0</v>
      </c>
      <c r="B4" s="33" t="s">
        <v>321</v>
      </c>
    </row>
    <row r="5" spans="1:2" ht="19">
      <c r="A5" s="12" t="s">
        <v>1</v>
      </c>
      <c r="B5" s="34" t="s">
        <v>322</v>
      </c>
    </row>
    <row r="6" spans="1:2" ht="19">
      <c r="A6" s="12" t="s">
        <v>2</v>
      </c>
      <c r="B6" s="35">
        <v>2025</v>
      </c>
    </row>
    <row r="7" spans="1:2" ht="19">
      <c r="A7" s="12" t="s">
        <v>3</v>
      </c>
      <c r="B7" s="36">
        <v>10</v>
      </c>
    </row>
    <row r="8" spans="1:2" ht="19">
      <c r="A8" s="12" t="s">
        <v>4</v>
      </c>
      <c r="B8" s="36">
        <v>9</v>
      </c>
    </row>
    <row r="9" spans="1:2" ht="19">
      <c r="A9" s="12" t="s">
        <v>5</v>
      </c>
      <c r="B9" s="34" t="s">
        <v>322</v>
      </c>
    </row>
    <row r="10" spans="1:2" ht="19">
      <c r="A10" s="12" t="s">
        <v>6</v>
      </c>
      <c r="B10" s="34">
        <v>-20</v>
      </c>
    </row>
    <row r="11" spans="1:2" ht="19">
      <c r="A11" s="12" t="s">
        <v>7</v>
      </c>
      <c r="B11" s="36">
        <v>10</v>
      </c>
    </row>
    <row r="12" spans="1:2" ht="19">
      <c r="A12" s="12" t="s">
        <v>8</v>
      </c>
      <c r="B12" s="36">
        <v>10</v>
      </c>
    </row>
    <row r="13" spans="1:2" ht="19">
      <c r="A13" s="12" t="s">
        <v>9</v>
      </c>
      <c r="B13" s="34" t="s">
        <v>322</v>
      </c>
    </row>
    <row r="14" spans="1:2" ht="19">
      <c r="A14" s="12" t="s">
        <v>10</v>
      </c>
      <c r="B14" s="34" t="s">
        <v>322</v>
      </c>
    </row>
    <row r="15" spans="1:2" ht="19">
      <c r="A15" s="12" t="s">
        <v>11</v>
      </c>
      <c r="B15" s="36">
        <v>10</v>
      </c>
    </row>
    <row r="16" spans="1:2" ht="19">
      <c r="A16" s="12" t="s">
        <v>12</v>
      </c>
      <c r="B16" s="36">
        <v>14</v>
      </c>
    </row>
    <row r="17" spans="1:2" ht="19">
      <c r="A17" s="12" t="s">
        <v>13</v>
      </c>
      <c r="B17" s="46" t="s">
        <v>322</v>
      </c>
    </row>
    <row r="18" spans="1:2" ht="19">
      <c r="A18" s="12" t="s">
        <v>14</v>
      </c>
      <c r="B18" s="39">
        <v>-20</v>
      </c>
    </row>
    <row r="19" spans="1:2" ht="19">
      <c r="A19" s="12" t="s">
        <v>15</v>
      </c>
      <c r="B19" s="34">
        <v>14</v>
      </c>
    </row>
    <row r="20" spans="1:2" ht="19">
      <c r="A20" s="12" t="s">
        <v>16</v>
      </c>
      <c r="B20" s="34"/>
    </row>
    <row r="21" spans="1:2" ht="19">
      <c r="A21" s="12" t="s">
        <v>17</v>
      </c>
      <c r="B21" s="34"/>
    </row>
    <row r="22" spans="1:2" ht="19">
      <c r="A22" s="12" t="s">
        <v>18</v>
      </c>
      <c r="B22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A142-3D59-7C4E-A070-8F63C8B9B6E1}">
  <dimension ref="A1:F105"/>
  <sheetViews>
    <sheetView topLeftCell="A45" zoomScale="150" zoomScaleNormal="150" workbookViewId="0">
      <selection activeCell="D58" sqref="D58:E97"/>
    </sheetView>
  </sheetViews>
  <sheetFormatPr baseColWidth="10" defaultColWidth="11" defaultRowHeight="16"/>
  <cols>
    <col min="1" max="1" width="19" customWidth="1"/>
    <col min="2" max="2" width="17.5" customWidth="1"/>
    <col min="3" max="3" width="19.1640625" customWidth="1"/>
    <col min="4" max="4" width="34.1640625" customWidth="1"/>
    <col min="5" max="5" width="21.5" customWidth="1"/>
  </cols>
  <sheetData>
    <row r="1" spans="1:6" ht="19">
      <c r="A1" s="8" t="s">
        <v>19</v>
      </c>
      <c r="B1" s="8" t="s">
        <v>20</v>
      </c>
      <c r="C1" s="9" t="s">
        <v>21</v>
      </c>
      <c r="D1" s="10" t="s">
        <v>22</v>
      </c>
      <c r="E1" s="11" t="s">
        <v>23</v>
      </c>
      <c r="F1" s="32"/>
    </row>
    <row r="2" spans="1:6" ht="19">
      <c r="A2" s="31" t="s">
        <v>24</v>
      </c>
      <c r="B2" s="40" t="s">
        <v>25</v>
      </c>
      <c r="C2" s="41"/>
      <c r="D2" s="47" t="s">
        <v>363</v>
      </c>
      <c r="E2" s="13" t="str">
        <f>INDEX('Alithea Barcodes'!$A$2:$C$97,MATCH('Reverse Transcription'!B2,'Alithea Barcodes'!$A$2:$A$97,0),2)</f>
        <v>AATGCGGCTTGACC</v>
      </c>
      <c r="F2" s="32"/>
    </row>
    <row r="3" spans="1:6" ht="19">
      <c r="A3" s="31" t="s">
        <v>26</v>
      </c>
      <c r="B3" s="40" t="s">
        <v>27</v>
      </c>
      <c r="C3" s="41"/>
      <c r="D3" s="47" t="s">
        <v>364</v>
      </c>
      <c r="E3" s="13" t="str">
        <f>INDEX('Alithea Barcodes'!$A$2:$C$97,MATCH('Reverse Transcription'!B3,'Alithea Barcodes'!$A$2:$A$97,0),2)</f>
        <v>ACACTAGTGCATGA</v>
      </c>
      <c r="F3" s="32"/>
    </row>
    <row r="4" spans="1:6" ht="19">
      <c r="A4" s="31" t="s">
        <v>28</v>
      </c>
      <c r="B4" s="40" t="s">
        <v>29</v>
      </c>
      <c r="C4" s="41"/>
      <c r="D4" s="47" t="s">
        <v>365</v>
      </c>
      <c r="E4" s="13" t="str">
        <f>INDEX('Alithea Barcodes'!$A$2:$C$97,MATCH('Reverse Transcription'!B4,'Alithea Barcodes'!$A$2:$A$97,0),2)</f>
        <v>TCCGTAACCGTTCA</v>
      </c>
      <c r="F4" s="32"/>
    </row>
    <row r="5" spans="1:6" ht="19">
      <c r="A5" s="31" t="s">
        <v>30</v>
      </c>
      <c r="B5" s="40" t="s">
        <v>31</v>
      </c>
      <c r="C5" s="41"/>
      <c r="D5" s="47" t="s">
        <v>366</v>
      </c>
      <c r="E5" s="13" t="str">
        <f>INDEX('Alithea Barcodes'!$A$2:$C$97,MATCH('Reverse Transcription'!B5,'Alithea Barcodes'!$A$2:$A$97,0),2)</f>
        <v>TTGTCGCCGAGACC</v>
      </c>
      <c r="F5" s="32"/>
    </row>
    <row r="6" spans="1:6" ht="19">
      <c r="A6" s="31" t="s">
        <v>32</v>
      </c>
      <c r="B6" s="40" t="s">
        <v>33</v>
      </c>
      <c r="C6" s="40"/>
      <c r="D6" s="47" t="s">
        <v>367</v>
      </c>
      <c r="E6" s="13" t="str">
        <f>INDEX('Alithea Barcodes'!$A$2:$C$97,MATCH('Reverse Transcription'!B6,'Alithea Barcodes'!$A$2:$A$97,0),2)</f>
        <v>TCATACCGAATTGA</v>
      </c>
      <c r="F6" s="32"/>
    </row>
    <row r="7" spans="1:6" ht="19">
      <c r="A7" s="31" t="s">
        <v>34</v>
      </c>
      <c r="B7" s="40" t="s">
        <v>35</v>
      </c>
      <c r="C7" s="40"/>
      <c r="D7" s="47" t="s">
        <v>368</v>
      </c>
      <c r="E7" s="13" t="str">
        <f>INDEX('Alithea Barcodes'!$A$2:$C$97,MATCH('Reverse Transcription'!B7,'Alithea Barcodes'!$A$2:$A$97,0),2)</f>
        <v>ACGACACATGCTAC</v>
      </c>
      <c r="F7" s="32"/>
    </row>
    <row r="8" spans="1:6" ht="19">
      <c r="A8" s="31" t="s">
        <v>36</v>
      </c>
      <c r="B8" s="40" t="s">
        <v>37</v>
      </c>
      <c r="C8" s="40"/>
      <c r="D8" s="47" t="s">
        <v>369</v>
      </c>
      <c r="E8" s="13" t="str">
        <f>INDEX('Alithea Barcodes'!$A$2:$C$97,MATCH('Reverse Transcription'!B8,'Alithea Barcodes'!$A$2:$A$97,0),2)</f>
        <v>TATTCGTTATCGGC</v>
      </c>
      <c r="F8" s="32"/>
    </row>
    <row r="9" spans="1:6" ht="19">
      <c r="A9" s="31" t="s">
        <v>38</v>
      </c>
      <c r="B9" s="40" t="s">
        <v>39</v>
      </c>
      <c r="C9" s="40"/>
      <c r="D9" s="47" t="s">
        <v>370</v>
      </c>
      <c r="E9" s="13" t="str">
        <f>INDEX('Alithea Barcodes'!$A$2:$C$97,MATCH('Reverse Transcription'!B9,'Alithea Barcodes'!$A$2:$A$97,0),2)</f>
        <v>CCGTAGTTGGACCG</v>
      </c>
      <c r="F9" s="32"/>
    </row>
    <row r="10" spans="1:6" ht="19">
      <c r="A10" s="31" t="s">
        <v>40</v>
      </c>
      <c r="B10" s="40" t="s">
        <v>41</v>
      </c>
      <c r="C10" s="40"/>
      <c r="D10" s="7"/>
      <c r="E10" s="13" t="str">
        <f>INDEX('Alithea Barcodes'!$A$2:$C$97,MATCH('Reverse Transcription'!B10,'Alithea Barcodes'!$A$2:$A$97,0),2)</f>
        <v>ATGGTAATCCAAGG</v>
      </c>
      <c r="F10" s="32"/>
    </row>
    <row r="11" spans="1:6" ht="19">
      <c r="A11" s="32">
        <v>10</v>
      </c>
      <c r="B11" s="40" t="s">
        <v>42</v>
      </c>
      <c r="C11" s="40"/>
      <c r="D11" s="7"/>
      <c r="E11" s="13" t="str">
        <f>INDEX('Alithea Barcodes'!$A$2:$C$97,MATCH('Reverse Transcription'!B11,'Alithea Barcodes'!$A$2:$A$97,0),2)</f>
        <v>CACTACTACAGTGC</v>
      </c>
      <c r="F11" s="32"/>
    </row>
    <row r="12" spans="1:6" ht="19">
      <c r="A12" s="32">
        <v>11</v>
      </c>
      <c r="B12" s="40" t="s">
        <v>43</v>
      </c>
      <c r="C12" s="40"/>
      <c r="D12" s="7"/>
      <c r="E12" s="13" t="str">
        <f>INDEX('Alithea Barcodes'!$A$2:$C$97,MATCH('Reverse Transcription'!B12,'Alithea Barcodes'!$A$2:$A$97,0),2)</f>
        <v>ATACGATCGCTACG</v>
      </c>
      <c r="F12" s="32"/>
    </row>
    <row r="13" spans="1:6" ht="19">
      <c r="A13" s="32">
        <v>12</v>
      </c>
      <c r="B13" s="40" t="s">
        <v>44</v>
      </c>
      <c r="C13" s="40"/>
      <c r="D13" s="7"/>
      <c r="E13" s="13" t="str">
        <f>INDEX('Alithea Barcodes'!$A$2:$C$97,MATCH('Reverse Transcription'!B13,'Alithea Barcodes'!$A$2:$A$97,0),2)</f>
        <v>ACGAGACGTAGCGC</v>
      </c>
      <c r="F13" s="32"/>
    </row>
    <row r="14" spans="1:6" ht="19">
      <c r="A14" s="32">
        <v>13</v>
      </c>
      <c r="B14" s="40" t="s">
        <v>45</v>
      </c>
      <c r="C14" s="40"/>
      <c r="D14" s="7"/>
      <c r="E14" s="13" t="str">
        <f>INDEX('Alithea Barcodes'!$A$2:$C$97,MATCH('Reverse Transcription'!B14,'Alithea Barcodes'!$A$2:$A$97,0),2)</f>
        <v>CCTCTAATGGCCGC</v>
      </c>
      <c r="F14" s="32"/>
    </row>
    <row r="15" spans="1:6" ht="19">
      <c r="A15" s="32">
        <v>14</v>
      </c>
      <c r="B15" s="40" t="s">
        <v>46</v>
      </c>
      <c r="C15" s="40"/>
      <c r="D15" s="7"/>
      <c r="E15" s="13" t="str">
        <f>INDEX('Alithea Barcodes'!$A$2:$C$97,MATCH('Reverse Transcription'!B15,'Alithea Barcodes'!$A$2:$A$97,0),2)</f>
        <v>TCGCAGCCTAGAAG</v>
      </c>
      <c r="F15" s="32"/>
    </row>
    <row r="16" spans="1:6" ht="19">
      <c r="A16" s="32">
        <v>15</v>
      </c>
      <c r="B16" s="40" t="s">
        <v>47</v>
      </c>
      <c r="C16" s="40"/>
      <c r="D16" s="7"/>
      <c r="E16" s="13" t="str">
        <f>INDEX('Alithea Barcodes'!$A$2:$C$97,MATCH('Reverse Transcription'!B16,'Alithea Barcodes'!$A$2:$A$97,0),2)</f>
        <v>CACACGTCTCGTAG</v>
      </c>
      <c r="F16" s="32"/>
    </row>
    <row r="17" spans="1:6" ht="19">
      <c r="A17" s="32">
        <v>16</v>
      </c>
      <c r="B17" s="40" t="s">
        <v>48</v>
      </c>
      <c r="C17" s="40"/>
      <c r="D17" s="7"/>
      <c r="E17" s="13" t="str">
        <f>INDEX('Alithea Barcodes'!$A$2:$C$97,MATCH('Reverse Transcription'!B17,'Alithea Barcodes'!$A$2:$A$97,0),2)</f>
        <v>ATCTGACGAGTCGA</v>
      </c>
      <c r="F17" s="32"/>
    </row>
    <row r="18" spans="1:6" ht="19">
      <c r="A18" s="32">
        <v>17</v>
      </c>
      <c r="B18" s="40" t="s">
        <v>49</v>
      </c>
      <c r="C18" s="40"/>
      <c r="D18" s="7"/>
      <c r="E18" s="13" t="str">
        <f>INDEX('Alithea Barcodes'!$A$2:$C$97,MATCH('Reverse Transcription'!B18,'Alithea Barcodes'!$A$2:$A$97,0),2)</f>
        <v>ACTGTGCAGCTGAG</v>
      </c>
      <c r="F18" s="32"/>
    </row>
    <row r="19" spans="1:6" ht="19">
      <c r="A19" s="32">
        <v>18</v>
      </c>
      <c r="B19" s="40" t="s">
        <v>50</v>
      </c>
      <c r="C19" s="40"/>
      <c r="D19" s="7"/>
      <c r="E19" s="13" t="str">
        <f>INDEX('Alithea Barcodes'!$A$2:$C$97,MATCH('Reverse Transcription'!B19,'Alithea Barcodes'!$A$2:$A$97,0),2)</f>
        <v>AAGAAGCCATAAGG</v>
      </c>
      <c r="F19" s="32"/>
    </row>
    <row r="20" spans="1:6" ht="19">
      <c r="A20" s="32">
        <v>19</v>
      </c>
      <c r="B20" s="40" t="s">
        <v>51</v>
      </c>
      <c r="C20" s="40"/>
      <c r="D20" s="7"/>
      <c r="E20" s="13" t="str">
        <f>INDEX('Alithea Barcodes'!$A$2:$C$97,MATCH('Reverse Transcription'!B20,'Alithea Barcodes'!$A$2:$A$97,0),2)</f>
        <v>AACCGGTTGTTAGC</v>
      </c>
      <c r="F20" s="32"/>
    </row>
    <row r="21" spans="1:6" ht="19">
      <c r="A21" s="32">
        <v>20</v>
      </c>
      <c r="B21" s="40" t="s">
        <v>52</v>
      </c>
      <c r="C21" s="40"/>
      <c r="D21" s="7"/>
      <c r="E21" s="13" t="str">
        <f>INDEX('Alithea Barcodes'!$A$2:$C$97,MATCH('Reverse Transcription'!B21,'Alithea Barcodes'!$A$2:$A$97,0),2)</f>
        <v>CACGACACATAGAC</v>
      </c>
      <c r="F21" s="32"/>
    </row>
    <row r="22" spans="1:6" ht="19">
      <c r="A22" s="32">
        <v>21</v>
      </c>
      <c r="B22" s="40" t="s">
        <v>53</v>
      </c>
      <c r="C22" s="40"/>
      <c r="D22" s="7"/>
      <c r="E22" s="13" t="str">
        <f>INDEX('Alithea Barcodes'!$A$2:$C$97,MATCH('Reverse Transcription'!B22,'Alithea Barcodes'!$A$2:$A$97,0),2)</f>
        <v>TCAGTCGAGATAGA</v>
      </c>
      <c r="F22" s="32"/>
    </row>
    <row r="23" spans="1:6" ht="19">
      <c r="A23" s="32">
        <v>22</v>
      </c>
      <c r="B23" s="40" t="s">
        <v>54</v>
      </c>
      <c r="C23" s="40"/>
      <c r="D23" s="7"/>
      <c r="E23" s="13" t="str">
        <f>INDEX('Alithea Barcodes'!$A$2:$C$97,MATCH('Reverse Transcription'!B23,'Alithea Barcodes'!$A$2:$A$97,0),2)</f>
        <v>TACGAGTACAGACA</v>
      </c>
      <c r="F23" s="32"/>
    </row>
    <row r="24" spans="1:6" ht="19">
      <c r="A24" s="32">
        <v>23</v>
      </c>
      <c r="B24" s="40" t="s">
        <v>55</v>
      </c>
      <c r="C24" s="38"/>
      <c r="D24" s="7"/>
      <c r="E24" s="13" t="str">
        <f>INDEX('Alithea Barcodes'!$A$2:$C$97,MATCH('Reverse Transcription'!B24,'Alithea Barcodes'!$A$2:$A$97,0),2)</f>
        <v>TTGAATATCTGTCC</v>
      </c>
      <c r="F24" s="32"/>
    </row>
    <row r="25" spans="1:6" ht="19">
      <c r="A25" s="32">
        <v>24</v>
      </c>
      <c r="B25" s="40" t="s">
        <v>56</v>
      </c>
      <c r="C25" s="40"/>
      <c r="D25" s="7"/>
      <c r="E25" s="13" t="str">
        <f>INDEX('Alithea Barcodes'!$A$2:$C$97,MATCH('Reverse Transcription'!B25,'Alithea Barcodes'!$A$2:$A$97,0),2)</f>
        <v>CATATGACGAGTCA</v>
      </c>
      <c r="F25" s="32"/>
    </row>
    <row r="26" spans="1:6" ht="19">
      <c r="A26" s="32">
        <v>25</v>
      </c>
      <c r="B26" s="40" t="s">
        <v>57</v>
      </c>
      <c r="C26" s="40"/>
      <c r="D26" s="7"/>
      <c r="E26" s="13" t="str">
        <f>INDEX('Alithea Barcodes'!$A$2:$C$97,MATCH('Reverse Transcription'!B26,'Alithea Barcodes'!$A$2:$A$97,0),2)</f>
        <v>AACCGCCGAGAAGG</v>
      </c>
      <c r="F26" s="32"/>
    </row>
    <row r="27" spans="1:6" ht="19">
      <c r="A27" s="32">
        <v>26</v>
      </c>
      <c r="B27" s="40" t="s">
        <v>58</v>
      </c>
      <c r="C27" s="40"/>
      <c r="D27" s="7"/>
      <c r="E27" s="13" t="str">
        <f>INDEX('Alithea Barcodes'!$A$2:$C$97,MATCH('Reverse Transcription'!B27,'Alithea Barcodes'!$A$2:$A$97,0),2)</f>
        <v>CACAGCACTCGACA</v>
      </c>
      <c r="F27" s="32"/>
    </row>
    <row r="28" spans="1:6" ht="19">
      <c r="A28" s="32">
        <v>27</v>
      </c>
      <c r="B28" s="40" t="s">
        <v>59</v>
      </c>
      <c r="C28" s="40"/>
      <c r="D28" s="7"/>
      <c r="E28" s="13" t="str">
        <f>INDEX('Alithea Barcodes'!$A$2:$C$97,MATCH('Reverse Transcription'!B28,'Alithea Barcodes'!$A$2:$A$97,0),2)</f>
        <v>AAGCGCTCTCCAGG</v>
      </c>
      <c r="F28" s="32"/>
    </row>
    <row r="29" spans="1:6" ht="19">
      <c r="A29" s="32">
        <v>28</v>
      </c>
      <c r="B29" s="40" t="s">
        <v>60</v>
      </c>
      <c r="C29" s="40"/>
      <c r="D29" s="7"/>
      <c r="E29" s="13" t="str">
        <f>INDEX('Alithea Barcodes'!$A$2:$C$97,MATCH('Reverse Transcription'!B29,'Alithea Barcodes'!$A$2:$A$97,0),2)</f>
        <v>ATCTGCTGTCGCAC</v>
      </c>
      <c r="F29" s="32"/>
    </row>
    <row r="30" spans="1:6" ht="19">
      <c r="A30" s="32">
        <v>29</v>
      </c>
      <c r="B30" s="40" t="s">
        <v>61</v>
      </c>
      <c r="C30" s="40"/>
      <c r="D30" s="7"/>
      <c r="E30" s="13" t="str">
        <f>INDEX('Alithea Barcodes'!$A$2:$C$97,MATCH('Reverse Transcription'!B30,'Alithea Barcodes'!$A$2:$A$97,0),2)</f>
        <v>CACAGTCGTAGTCG</v>
      </c>
      <c r="F30" s="32"/>
    </row>
    <row r="31" spans="1:6" ht="19">
      <c r="A31" s="32">
        <v>30</v>
      </c>
      <c r="B31" s="40" t="s">
        <v>62</v>
      </c>
      <c r="C31" s="40"/>
      <c r="D31" s="7"/>
      <c r="E31" s="13" t="str">
        <f>INDEX('Alithea Barcodes'!$A$2:$C$97,MATCH('Reverse Transcription'!B31,'Alithea Barcodes'!$A$2:$A$97,0),2)</f>
        <v>CTACACTACGAGAC</v>
      </c>
      <c r="F31" s="32"/>
    </row>
    <row r="32" spans="1:6" ht="19">
      <c r="A32" s="32">
        <v>31</v>
      </c>
      <c r="B32" s="40" t="s">
        <v>63</v>
      </c>
      <c r="C32" s="40"/>
      <c r="D32" s="7"/>
      <c r="E32" s="13" t="str">
        <f>INDEX('Alithea Barcodes'!$A$2:$C$97,MATCH('Reverse Transcription'!B32,'Alithea Barcodes'!$A$2:$A$97,0),2)</f>
        <v>TACATGCGTCTGCA</v>
      </c>
      <c r="F32" s="32"/>
    </row>
    <row r="33" spans="1:6" ht="19">
      <c r="A33" s="32">
        <v>32</v>
      </c>
      <c r="B33" s="40" t="s">
        <v>64</v>
      </c>
      <c r="C33" s="40"/>
      <c r="D33" s="7"/>
      <c r="E33" s="13" t="str">
        <f>INDEX('Alithea Barcodes'!$A$2:$C$97,MATCH('Reverse Transcription'!B33,'Alithea Barcodes'!$A$2:$A$97,0),2)</f>
        <v>CTTATACACCTCAA</v>
      </c>
      <c r="F33" s="32"/>
    </row>
    <row r="34" spans="1:6" ht="19">
      <c r="A34" s="32">
        <v>33</v>
      </c>
      <c r="B34" s="40" t="s">
        <v>65</v>
      </c>
      <c r="C34" s="40"/>
      <c r="D34" s="7"/>
      <c r="E34" s="13" t="str">
        <f>INDEX('Alithea Barcodes'!$A$2:$C$97,MATCH('Reverse Transcription'!B34,'Alithea Barcodes'!$A$2:$A$97,0),2)</f>
        <v>CACATGTATGCACA</v>
      </c>
      <c r="F34" s="32"/>
    </row>
    <row r="35" spans="1:6" ht="19">
      <c r="A35" s="32">
        <v>34</v>
      </c>
      <c r="B35" s="40" t="s">
        <v>66</v>
      </c>
      <c r="C35" s="40"/>
      <c r="D35" s="7"/>
      <c r="E35" s="13" t="str">
        <f>INDEX('Alithea Barcodes'!$A$2:$C$97,MATCH('Reverse Transcription'!B35,'Alithea Barcodes'!$A$2:$A$97,0),2)</f>
        <v>CTCCAATGCCATAA</v>
      </c>
      <c r="F35" s="32"/>
    </row>
    <row r="36" spans="1:6" ht="19">
      <c r="A36" s="32">
        <v>35</v>
      </c>
      <c r="B36" s="40" t="s">
        <v>67</v>
      </c>
      <c r="C36" s="40"/>
      <c r="D36" s="7"/>
      <c r="E36" s="13" t="str">
        <f>INDEX('Alithea Barcodes'!$A$2:$C$97,MATCH('Reverse Transcription'!B36,'Alithea Barcodes'!$A$2:$A$97,0),2)</f>
        <v>TAGGTGAGGCTTGG</v>
      </c>
      <c r="F36" s="32"/>
    </row>
    <row r="37" spans="1:6" ht="19">
      <c r="A37" s="32">
        <v>36</v>
      </c>
      <c r="B37" s="40" t="s">
        <v>68</v>
      </c>
      <c r="C37" s="40"/>
      <c r="D37" s="7"/>
      <c r="E37" s="13" t="str">
        <f>INDEX('Alithea Barcodes'!$A$2:$C$97,MATCH('Reverse Transcription'!B37,'Alithea Barcodes'!$A$2:$A$97,0),2)</f>
        <v>ACGCAGTATATGAC</v>
      </c>
      <c r="F37" s="32"/>
    </row>
    <row r="38" spans="1:6" ht="19">
      <c r="A38" s="32">
        <v>37</v>
      </c>
      <c r="B38" s="40" t="s">
        <v>69</v>
      </c>
      <c r="C38" s="40"/>
      <c r="D38" s="7"/>
      <c r="E38" s="13" t="str">
        <f>INDEX('Alithea Barcodes'!$A$2:$C$97,MATCH('Reverse Transcription'!B38,'Alithea Barcodes'!$A$2:$A$97,0),2)</f>
        <v>TAGTCTATGTGAGC</v>
      </c>
      <c r="F38" s="32"/>
    </row>
    <row r="39" spans="1:6" ht="19">
      <c r="A39" s="32">
        <v>38</v>
      </c>
      <c r="B39" s="40" t="s">
        <v>70</v>
      </c>
      <c r="C39" s="40"/>
      <c r="D39" s="7"/>
      <c r="E39" s="13" t="str">
        <f>INDEX('Alithea Barcodes'!$A$2:$C$97,MATCH('Reverse Transcription'!B39,'Alithea Barcodes'!$A$2:$A$97,0),2)</f>
        <v>CTATGCATGACGCG</v>
      </c>
      <c r="F39" s="32"/>
    </row>
    <row r="40" spans="1:6" ht="19">
      <c r="A40" s="32">
        <v>39</v>
      </c>
      <c r="B40" s="40" t="s">
        <v>71</v>
      </c>
      <c r="C40" s="40"/>
      <c r="D40" s="7"/>
      <c r="E40" s="13" t="str">
        <f>INDEX('Alithea Barcodes'!$A$2:$C$97,MATCH('Reverse Transcription'!B40,'Alithea Barcodes'!$A$2:$A$97,0),2)</f>
        <v>TAATATCAAGGTCC</v>
      </c>
      <c r="F40" s="32"/>
    </row>
    <row r="41" spans="1:6" ht="19">
      <c r="A41" s="32">
        <v>40</v>
      </c>
      <c r="B41" s="40" t="s">
        <v>72</v>
      </c>
      <c r="C41" s="40"/>
      <c r="D41" s="7"/>
      <c r="E41" s="13" t="str">
        <f>INDEX('Alithea Barcodes'!$A$2:$C$97,MATCH('Reverse Transcription'!B41,'Alithea Barcodes'!$A$2:$A$97,0),2)</f>
        <v>AACAAGTTCGCGCG</v>
      </c>
      <c r="F41" s="32"/>
    </row>
    <row r="42" spans="1:6" ht="19">
      <c r="A42" s="32">
        <v>41</v>
      </c>
      <c r="B42" s="40" t="s">
        <v>73</v>
      </c>
      <c r="C42" s="40"/>
      <c r="D42" s="7"/>
      <c r="E42" s="13" t="str">
        <f>INDEX('Alithea Barcodes'!$A$2:$C$97,MATCH('Reverse Transcription'!B42,'Alithea Barcodes'!$A$2:$A$97,0),2)</f>
        <v>CAAGCCAAGGCGAA</v>
      </c>
      <c r="F42" s="32"/>
    </row>
    <row r="43" spans="1:6" ht="19">
      <c r="A43" s="32">
        <v>42</v>
      </c>
      <c r="B43" s="40" t="s">
        <v>74</v>
      </c>
      <c r="C43" s="40"/>
      <c r="D43" s="7"/>
      <c r="E43" s="13" t="str">
        <f>INDEX('Alithea Barcodes'!$A$2:$C$97,MATCH('Reverse Transcription'!B43,'Alithea Barcodes'!$A$2:$A$97,0),2)</f>
        <v>CCTAAGAACCACAC</v>
      </c>
      <c r="F43" s="32"/>
    </row>
    <row r="44" spans="1:6" ht="19">
      <c r="A44" s="32">
        <v>43</v>
      </c>
      <c r="B44" s="40" t="s">
        <v>75</v>
      </c>
      <c r="C44" s="40"/>
      <c r="D44" s="7"/>
      <c r="E44" s="13" t="str">
        <f>INDEX('Alithea Barcodes'!$A$2:$C$97,MATCH('Reverse Transcription'!B44,'Alithea Barcodes'!$A$2:$A$97,0),2)</f>
        <v>TCAGCGCCGTATGG</v>
      </c>
      <c r="F44" s="32"/>
    </row>
    <row r="45" spans="1:6" ht="19">
      <c r="A45" s="32">
        <v>44</v>
      </c>
      <c r="B45" s="40" t="s">
        <v>76</v>
      </c>
      <c r="D45" s="7"/>
      <c r="E45" s="13" t="str">
        <f>INDEX('Alithea Barcodes'!$A$2:$C$97,MATCH('Reverse Transcription'!B45,'Alithea Barcodes'!$A$2:$A$97,0),2)</f>
        <v>CAGATCTAGACTGA</v>
      </c>
      <c r="F45" s="32"/>
    </row>
    <row r="46" spans="1:6" ht="19">
      <c r="A46" s="32">
        <v>45</v>
      </c>
      <c r="B46" s="40" t="s">
        <v>77</v>
      </c>
      <c r="C46" s="40"/>
      <c r="D46" s="7"/>
      <c r="E46" s="13" t="str">
        <f>INDEX('Alithea Barcodes'!$A$2:$C$97,MATCH('Reverse Transcription'!B46,'Alithea Barcodes'!$A$2:$A$97,0),2)</f>
        <v>ACCGAAGCAACTAA</v>
      </c>
      <c r="F46" s="32"/>
    </row>
    <row r="47" spans="1:6" ht="19">
      <c r="A47" s="32">
        <v>46</v>
      </c>
      <c r="B47" s="40" t="s">
        <v>78</v>
      </c>
      <c r="C47" s="40"/>
      <c r="D47" s="7"/>
      <c r="E47" s="13" t="str">
        <f>INDEX('Alithea Barcodes'!$A$2:$C$97,MATCH('Reverse Transcription'!B47,'Alithea Barcodes'!$A$2:$A$97,0),2)</f>
        <v>AAGTGGTTGACTAA</v>
      </c>
      <c r="F47" s="32"/>
    </row>
    <row r="48" spans="1:6" ht="19">
      <c r="A48" s="32">
        <v>47</v>
      </c>
      <c r="B48" s="40" t="s">
        <v>79</v>
      </c>
      <c r="C48" s="40"/>
      <c r="D48" s="7"/>
      <c r="E48" s="13" t="str">
        <f>INDEX('Alithea Barcodes'!$A$2:$C$97,MATCH('Reverse Transcription'!B48,'Alithea Barcodes'!$A$2:$A$97,0),2)</f>
        <v>CTGAGTGCTGGCCA</v>
      </c>
      <c r="F48" s="32"/>
    </row>
    <row r="49" spans="1:6" ht="19">
      <c r="A49" s="32">
        <v>48</v>
      </c>
      <c r="B49" s="40" t="s">
        <v>80</v>
      </c>
      <c r="C49" s="40"/>
      <c r="D49" s="7"/>
      <c r="E49" s="13" t="str">
        <f>INDEX('Alithea Barcodes'!$A$2:$C$97,MATCH('Reverse Transcription'!B49,'Alithea Barcodes'!$A$2:$A$97,0),2)</f>
        <v>TACCGTCTGGAACC</v>
      </c>
      <c r="F49" s="32"/>
    </row>
    <row r="50" spans="1:6" ht="19">
      <c r="A50" s="32">
        <v>49</v>
      </c>
      <c r="B50" s="40" t="s">
        <v>81</v>
      </c>
      <c r="C50" s="40"/>
      <c r="D50" s="7"/>
      <c r="E50" s="13" t="str">
        <f>INDEX('Alithea Barcodes'!$A$2:$C$97,MATCH('Reverse Transcription'!B50,'Alithea Barcodes'!$A$2:$A$97,0),2)</f>
        <v>ACCGCTCCTACAAG</v>
      </c>
      <c r="F50" s="32"/>
    </row>
    <row r="51" spans="1:6" ht="19">
      <c r="A51" s="32">
        <v>50</v>
      </c>
      <c r="B51" s="40" t="s">
        <v>82</v>
      </c>
      <c r="C51" s="40"/>
      <c r="D51" s="7"/>
      <c r="E51" s="13" t="str">
        <f>INDEX('Alithea Barcodes'!$A$2:$C$97,MATCH('Reverse Transcription'!B51,'Alithea Barcodes'!$A$2:$A$97,0),2)</f>
        <v>CAACCTGGTGGCAA</v>
      </c>
      <c r="F51" s="32"/>
    </row>
    <row r="52" spans="1:6" ht="19">
      <c r="A52" s="32">
        <v>51</v>
      </c>
      <c r="B52" s="40" t="s">
        <v>83</v>
      </c>
      <c r="C52" s="40"/>
      <c r="D52" s="7"/>
      <c r="E52" s="13" t="str">
        <f>INDEX('Alithea Barcodes'!$A$2:$C$97,MATCH('Reverse Transcription'!B52,'Alithea Barcodes'!$A$2:$A$97,0),2)</f>
        <v>CTCCATAACTGCCA</v>
      </c>
      <c r="F52" s="32"/>
    </row>
    <row r="53" spans="1:6" ht="19">
      <c r="A53" s="32">
        <v>52</v>
      </c>
      <c r="B53" s="40" t="s">
        <v>84</v>
      </c>
      <c r="C53" s="40"/>
      <c r="D53" s="7"/>
      <c r="E53" s="13" t="str">
        <f>INDEX('Alithea Barcodes'!$A$2:$C$97,MATCH('Reverse Transcription'!B53,'Alithea Barcodes'!$A$2:$A$97,0),2)</f>
        <v>CTATGTAGACAGAG</v>
      </c>
      <c r="F53" s="32"/>
    </row>
    <row r="54" spans="1:6" ht="19">
      <c r="A54" s="32">
        <v>53</v>
      </c>
      <c r="B54" s="40" t="s">
        <v>85</v>
      </c>
      <c r="C54" s="40"/>
      <c r="D54" s="7"/>
      <c r="E54" s="13" t="str">
        <f>INDEX('Alithea Barcodes'!$A$2:$C$97,MATCH('Reverse Transcription'!B54,'Alithea Barcodes'!$A$2:$A$97,0),2)</f>
        <v>TACAGCTCACTGAG</v>
      </c>
      <c r="F54" s="32"/>
    </row>
    <row r="55" spans="1:6" ht="19">
      <c r="A55" s="32">
        <v>54</v>
      </c>
      <c r="B55" s="40" t="s">
        <v>86</v>
      </c>
      <c r="C55" s="40"/>
      <c r="D55" s="7"/>
      <c r="E55" s="13" t="str">
        <f>INDEX('Alithea Barcodes'!$A$2:$C$97,MATCH('Reverse Transcription'!B55,'Alithea Barcodes'!$A$2:$A$97,0),2)</f>
        <v>ATGCATGCGTCAGA</v>
      </c>
      <c r="F55" s="32"/>
    </row>
    <row r="56" spans="1:6" ht="19">
      <c r="A56" s="32">
        <v>55</v>
      </c>
      <c r="B56" s="40" t="s">
        <v>87</v>
      </c>
      <c r="C56" s="40"/>
      <c r="D56" s="7"/>
      <c r="E56" s="13" t="str">
        <f>INDEX('Alithea Barcodes'!$A$2:$C$97,MATCH('Reverse Transcription'!B56,'Alithea Barcodes'!$A$2:$A$97,0),2)</f>
        <v>ATTCTTCCTTCCAG</v>
      </c>
      <c r="F56" s="32"/>
    </row>
    <row r="57" spans="1:6" ht="19">
      <c r="A57" s="32">
        <v>56</v>
      </c>
      <c r="B57" s="40" t="s">
        <v>88</v>
      </c>
      <c r="C57" s="40"/>
      <c r="D57" s="7"/>
      <c r="E57" s="13" t="str">
        <f>INDEX('Alithea Barcodes'!$A$2:$C$97,MATCH('Reverse Transcription'!B57,'Alithea Barcodes'!$A$2:$A$97,0),2)</f>
        <v>ATGGTTATGTGGCA</v>
      </c>
      <c r="F57" s="32"/>
    </row>
    <row r="58" spans="1:6" ht="19">
      <c r="A58" s="32">
        <v>57</v>
      </c>
      <c r="B58" s="40" t="s">
        <v>89</v>
      </c>
      <c r="C58" s="40"/>
      <c r="D58" s="47" t="s">
        <v>323</v>
      </c>
      <c r="E58" s="13" t="str">
        <f>INDEX('Alithea Barcodes'!$A$2:$C$97,MATCH('Reverse Transcription'!B58,'Alithea Barcodes'!$A$2:$A$97,0),2)</f>
        <v>CCACTTAACTCTGC</v>
      </c>
      <c r="F58" s="32"/>
    </row>
    <row r="59" spans="1:6" ht="19">
      <c r="A59" s="32">
        <v>58</v>
      </c>
      <c r="B59" s="40" t="s">
        <v>90</v>
      </c>
      <c r="C59" s="40"/>
      <c r="D59" s="47" t="s">
        <v>324</v>
      </c>
      <c r="E59" s="13" t="str">
        <f>INDEX('Alithea Barcodes'!$A$2:$C$97,MATCH('Reverse Transcription'!B59,'Alithea Barcodes'!$A$2:$A$97,0),2)</f>
        <v>ACTGGAATTGGAGC</v>
      </c>
      <c r="F59" s="32"/>
    </row>
    <row r="60" spans="1:6" ht="19">
      <c r="A60" s="32">
        <v>59</v>
      </c>
      <c r="B60" s="40" t="s">
        <v>91</v>
      </c>
      <c r="C60" s="40"/>
      <c r="D60" s="47" t="s">
        <v>325</v>
      </c>
      <c r="E60" s="13" t="str">
        <f>INDEX('Alithea Barcodes'!$A$2:$C$97,MATCH('Reverse Transcription'!B60,'Alithea Barcodes'!$A$2:$A$97,0),2)</f>
        <v>CACATAGTCGACGA</v>
      </c>
      <c r="F60" s="32"/>
    </row>
    <row r="61" spans="1:6" ht="19">
      <c r="A61" s="32">
        <v>60</v>
      </c>
      <c r="B61" s="40" t="s">
        <v>92</v>
      </c>
      <c r="C61" s="40"/>
      <c r="D61" s="47" t="s">
        <v>326</v>
      </c>
      <c r="E61" s="13" t="str">
        <f>INDEX('Alithea Barcodes'!$A$2:$C$97,MATCH('Reverse Transcription'!B61,'Alithea Barcodes'!$A$2:$A$97,0),2)</f>
        <v>CTGCTGCTAGGAAC</v>
      </c>
      <c r="F61" s="32"/>
    </row>
    <row r="62" spans="1:6" ht="19">
      <c r="A62" s="32">
        <v>61</v>
      </c>
      <c r="B62" s="40" t="s">
        <v>93</v>
      </c>
      <c r="C62" s="40"/>
      <c r="D62" s="47" t="s">
        <v>327</v>
      </c>
      <c r="E62" s="13" t="str">
        <f>INDEX('Alithea Barcodes'!$A$2:$C$97,MATCH('Reverse Transcription'!B62,'Alithea Barcodes'!$A$2:$A$97,0),2)</f>
        <v>TAGAGCTGAGATCA</v>
      </c>
      <c r="F62" s="32"/>
    </row>
    <row r="63" spans="1:6" ht="19">
      <c r="A63" s="32">
        <v>62</v>
      </c>
      <c r="B63" s="40" t="s">
        <v>94</v>
      </c>
      <c r="C63" s="40"/>
      <c r="D63" s="47" t="s">
        <v>328</v>
      </c>
      <c r="E63" s="13" t="str">
        <f>INDEX('Alithea Barcodes'!$A$2:$C$97,MATCH('Reverse Transcription'!B63,'Alithea Barcodes'!$A$2:$A$97,0),2)</f>
        <v>CCATAACCGGATCC</v>
      </c>
      <c r="F63" s="32"/>
    </row>
    <row r="64" spans="1:6" ht="19">
      <c r="A64" s="32">
        <v>63</v>
      </c>
      <c r="B64" s="40" t="s">
        <v>95</v>
      </c>
      <c r="C64" s="40"/>
      <c r="D64" s="47" t="s">
        <v>329</v>
      </c>
      <c r="E64" s="13" t="str">
        <f>INDEX('Alithea Barcodes'!$A$2:$C$97,MATCH('Reverse Transcription'!B64,'Alithea Barcodes'!$A$2:$A$97,0),2)</f>
        <v>CACAGCGATGTAGC</v>
      </c>
      <c r="F64" s="32"/>
    </row>
    <row r="65" spans="1:6" ht="19">
      <c r="A65" s="32">
        <v>64</v>
      </c>
      <c r="B65" s="40" t="s">
        <v>96</v>
      </c>
      <c r="C65" s="40"/>
      <c r="D65" s="47" t="s">
        <v>330</v>
      </c>
      <c r="E65" s="13" t="str">
        <f>INDEX('Alithea Barcodes'!$A$2:$C$97,MATCH('Reverse Transcription'!B65,'Alithea Barcodes'!$A$2:$A$97,0),2)</f>
        <v>TCTCGCGGTCAAGC</v>
      </c>
      <c r="F65" s="32"/>
    </row>
    <row r="66" spans="1:6" ht="19">
      <c r="A66" s="32">
        <v>65</v>
      </c>
      <c r="B66" s="40" t="s">
        <v>97</v>
      </c>
      <c r="C66" s="40"/>
      <c r="D66" s="47" t="s">
        <v>331</v>
      </c>
      <c r="E66" s="13" t="str">
        <f>INDEX('Alithea Barcodes'!$A$2:$C$97,MATCH('Reverse Transcription'!B66,'Alithea Barcodes'!$A$2:$A$97,0),2)</f>
        <v>AACCTAGAACCGCG</v>
      </c>
      <c r="F66" s="32"/>
    </row>
    <row r="67" spans="1:6" ht="19">
      <c r="A67" s="32">
        <v>66</v>
      </c>
      <c r="B67" s="40" t="s">
        <v>98</v>
      </c>
      <c r="C67" s="40"/>
      <c r="D67" s="47" t="s">
        <v>332</v>
      </c>
      <c r="E67" s="13" t="str">
        <f>INDEX('Alithea Barcodes'!$A$2:$C$97,MATCH('Reverse Transcription'!B67,'Alithea Barcodes'!$A$2:$A$97,0),2)</f>
        <v>CAACGTGCCATGCG</v>
      </c>
      <c r="F67" s="32"/>
    </row>
    <row r="68" spans="1:6" ht="19">
      <c r="A68" s="32">
        <v>67</v>
      </c>
      <c r="B68" s="40" t="s">
        <v>99</v>
      </c>
      <c r="C68" s="40"/>
      <c r="D68" s="47" t="s">
        <v>333</v>
      </c>
      <c r="E68" s="13" t="str">
        <f>INDEX('Alithea Barcodes'!$A$2:$C$97,MATCH('Reverse Transcription'!B68,'Alithea Barcodes'!$A$2:$A$97,0),2)</f>
        <v>ATAGTCACTAGCAC</v>
      </c>
      <c r="F68" s="32"/>
    </row>
    <row r="69" spans="1:6" ht="19">
      <c r="A69" s="32">
        <v>68</v>
      </c>
      <c r="B69" s="40" t="s">
        <v>100</v>
      </c>
      <c r="C69" s="40"/>
      <c r="D69" s="47" t="s">
        <v>334</v>
      </c>
      <c r="E69" s="13" t="str">
        <f>INDEX('Alithea Barcodes'!$A$2:$C$97,MATCH('Reverse Transcription'!B69,'Alithea Barcodes'!$A$2:$A$97,0),2)</f>
        <v>TAGACACGTACTCA</v>
      </c>
      <c r="F69" s="32"/>
    </row>
    <row r="70" spans="1:6" ht="19">
      <c r="A70" s="32">
        <v>69</v>
      </c>
      <c r="B70" s="40" t="s">
        <v>101</v>
      </c>
      <c r="C70" s="40"/>
      <c r="D70" s="47" t="s">
        <v>335</v>
      </c>
      <c r="E70" s="13" t="str">
        <f>INDEX('Alithea Barcodes'!$A$2:$C$97,MATCH('Reverse Transcription'!B70,'Alithea Barcodes'!$A$2:$A$97,0),2)</f>
        <v>CACACTAGCACTGA</v>
      </c>
      <c r="F70" s="32"/>
    </row>
    <row r="71" spans="1:6" ht="19">
      <c r="A71" s="32">
        <v>70</v>
      </c>
      <c r="B71" s="40" t="s">
        <v>102</v>
      </c>
      <c r="D71" s="47" t="s">
        <v>336</v>
      </c>
      <c r="E71" s="13" t="str">
        <f>INDEX('Alithea Barcodes'!$A$2:$C$97,MATCH('Reverse Transcription'!B71,'Alithea Barcodes'!$A$2:$A$97,0),2)</f>
        <v>ATGTTCCTGGTTGA</v>
      </c>
      <c r="F71" s="32"/>
    </row>
    <row r="72" spans="1:6" ht="19">
      <c r="A72" s="32">
        <v>71</v>
      </c>
      <c r="B72" s="40" t="s">
        <v>103</v>
      </c>
      <c r="C72" s="40"/>
      <c r="D72" s="47" t="s">
        <v>337</v>
      </c>
      <c r="E72" s="13" t="str">
        <f>INDEX('Alithea Barcodes'!$A$2:$C$97,MATCH('Reverse Transcription'!B72,'Alithea Barcodes'!$A$2:$A$97,0),2)</f>
        <v>TCTAGTCACGTCAC</v>
      </c>
      <c r="F72" s="32"/>
    </row>
    <row r="73" spans="1:6" ht="19">
      <c r="A73" s="32">
        <v>72</v>
      </c>
      <c r="B73" s="40" t="s">
        <v>104</v>
      </c>
      <c r="C73" s="40"/>
      <c r="D73" s="47" t="s">
        <v>338</v>
      </c>
      <c r="E73" s="13" t="str">
        <f>INDEX('Alithea Barcodes'!$A$2:$C$97,MATCH('Reverse Transcription'!B73,'Alithea Barcodes'!$A$2:$A$97,0),2)</f>
        <v>AAGCATATTCATGG</v>
      </c>
      <c r="F73" s="32"/>
    </row>
    <row r="74" spans="1:6" ht="19">
      <c r="A74" s="32">
        <v>73</v>
      </c>
      <c r="B74" s="40" t="s">
        <v>105</v>
      </c>
      <c r="C74" s="40"/>
      <c r="D74" s="47" t="s">
        <v>339</v>
      </c>
      <c r="E74" s="13" t="str">
        <f>INDEX('Alithea Barcodes'!$A$2:$C$97,MATCH('Reverse Transcription'!B74,'Alithea Barcodes'!$A$2:$A$97,0),2)</f>
        <v>CATCTCATAGTGAG</v>
      </c>
      <c r="F74" s="32"/>
    </row>
    <row r="75" spans="1:6" ht="19">
      <c r="A75" s="32">
        <v>74</v>
      </c>
      <c r="B75" s="40" t="s">
        <v>106</v>
      </c>
      <c r="C75" s="40"/>
      <c r="D75" s="47" t="s">
        <v>340</v>
      </c>
      <c r="E75" s="13" t="str">
        <f>INDEX('Alithea Barcodes'!$A$2:$C$97,MATCH('Reverse Transcription'!B75,'Alithea Barcodes'!$A$2:$A$97,0),2)</f>
        <v>CCTACCAGTATGGC</v>
      </c>
      <c r="F75" s="32"/>
    </row>
    <row r="76" spans="1:6" ht="19">
      <c r="A76" s="32">
        <v>75</v>
      </c>
      <c r="B76" s="40" t="s">
        <v>107</v>
      </c>
      <c r="C76" s="40"/>
      <c r="D76" s="47" t="s">
        <v>341</v>
      </c>
      <c r="E76" s="13" t="str">
        <f>INDEX('Alithea Barcodes'!$A$2:$C$97,MATCH('Reverse Transcription'!B76,'Alithea Barcodes'!$A$2:$A$97,0),2)</f>
        <v>CAACGGAAGTGAAG</v>
      </c>
      <c r="F76" s="32"/>
    </row>
    <row r="77" spans="1:6" ht="19">
      <c r="A77" s="32">
        <v>76</v>
      </c>
      <c r="B77" s="40" t="s">
        <v>108</v>
      </c>
      <c r="C77" s="40"/>
      <c r="D77" s="47" t="s">
        <v>342</v>
      </c>
      <c r="E77" s="13" t="str">
        <f>INDEX('Alithea Barcodes'!$A$2:$C$97,MATCH('Reverse Transcription'!B77,'Alithea Barcodes'!$A$2:$A$97,0),2)</f>
        <v>ACAACGAAGGTTCC</v>
      </c>
      <c r="F77" s="32"/>
    </row>
    <row r="78" spans="1:6" ht="19">
      <c r="A78" s="32">
        <v>77</v>
      </c>
      <c r="B78" s="40" t="s">
        <v>109</v>
      </c>
      <c r="C78" s="40"/>
      <c r="D78" s="47" t="s">
        <v>343</v>
      </c>
      <c r="E78" s="13" t="str">
        <f>INDEX('Alithea Barcodes'!$A$2:$C$97,MATCH('Reverse Transcription'!B78,'Alithea Barcodes'!$A$2:$A$97,0),2)</f>
        <v>CATCGATATCTAGA</v>
      </c>
      <c r="F78" s="32"/>
    </row>
    <row r="79" spans="1:6" ht="19">
      <c r="A79" s="32">
        <v>78</v>
      </c>
      <c r="B79" s="40" t="s">
        <v>110</v>
      </c>
      <c r="C79" s="40"/>
      <c r="D79" s="47" t="s">
        <v>344</v>
      </c>
      <c r="E79" s="13" t="str">
        <f>INDEX('Alithea Barcodes'!$A$2:$C$97,MATCH('Reverse Transcription'!B79,'Alithea Barcodes'!$A$2:$A$97,0),2)</f>
        <v>ATAGACGTCGTGCG</v>
      </c>
      <c r="F79" s="32"/>
    </row>
    <row r="80" spans="1:6" ht="19">
      <c r="A80" s="32">
        <v>79</v>
      </c>
      <c r="B80" s="40" t="s">
        <v>111</v>
      </c>
      <c r="C80" s="40"/>
      <c r="D80" s="47" t="s">
        <v>345</v>
      </c>
      <c r="E80" s="13" t="str">
        <f>INDEX('Alithea Barcodes'!$A$2:$C$97,MATCH('Reverse Transcription'!B80,'Alithea Barcodes'!$A$2:$A$97,0),2)</f>
        <v>CCGAGTGCGTTAAC</v>
      </c>
      <c r="F80" s="32"/>
    </row>
    <row r="81" spans="1:6" ht="19">
      <c r="A81" s="32">
        <v>80</v>
      </c>
      <c r="B81" s="40" t="s">
        <v>112</v>
      </c>
      <c r="C81" s="40"/>
      <c r="D81" s="47" t="s">
        <v>346</v>
      </c>
      <c r="E81" s="13" t="str">
        <f>INDEX('Alithea Barcodes'!$A$2:$C$97,MATCH('Reverse Transcription'!B81,'Alithea Barcodes'!$A$2:$A$97,0),2)</f>
        <v>ACACGAGCGACGCA</v>
      </c>
      <c r="F81" s="32"/>
    </row>
    <row r="82" spans="1:6" ht="19">
      <c r="A82" s="32">
        <v>81</v>
      </c>
      <c r="B82" s="40" t="s">
        <v>113</v>
      </c>
      <c r="C82" s="40"/>
      <c r="D82" s="47" t="s">
        <v>347</v>
      </c>
      <c r="E82" s="13" t="str">
        <f>INDEX('Alithea Barcodes'!$A$2:$C$97,MATCH('Reverse Transcription'!B82,'Alithea Barcodes'!$A$2:$A$97,0),2)</f>
        <v>CCAACCTGGAGAAG</v>
      </c>
      <c r="F82" s="32"/>
    </row>
    <row r="83" spans="1:6" ht="19">
      <c r="A83" s="32">
        <v>82</v>
      </c>
      <c r="B83" s="40" t="s">
        <v>114</v>
      </c>
      <c r="C83" s="40"/>
      <c r="D83" s="47" t="s">
        <v>348</v>
      </c>
      <c r="E83" s="13" t="str">
        <f>INDEX('Alithea Barcodes'!$A$2:$C$97,MATCH('Reverse Transcription'!B83,'Alithea Barcodes'!$A$2:$A$97,0),2)</f>
        <v>TAGAAGCTTATTGG</v>
      </c>
      <c r="F83" s="32"/>
    </row>
    <row r="84" spans="1:6" ht="19">
      <c r="A84" s="32">
        <v>83</v>
      </c>
      <c r="B84" s="40" t="s">
        <v>115</v>
      </c>
      <c r="C84" s="40"/>
      <c r="D84" s="47" t="s">
        <v>349</v>
      </c>
      <c r="E84" s="13" t="str">
        <f>INDEX('Alithea Barcodes'!$A$2:$C$97,MATCH('Reverse Transcription'!B84,'Alithea Barcodes'!$A$2:$A$97,0),2)</f>
        <v>AACCTAGAGAACAA</v>
      </c>
      <c r="F84" s="32"/>
    </row>
    <row r="85" spans="1:6" ht="19">
      <c r="A85" s="32">
        <v>84</v>
      </c>
      <c r="B85" s="40" t="s">
        <v>116</v>
      </c>
      <c r="C85" s="40"/>
      <c r="D85" s="47" t="s">
        <v>350</v>
      </c>
      <c r="E85" s="13" t="str">
        <f>INDEX('Alithea Barcodes'!$A$2:$C$97,MATCH('Reverse Transcription'!B85,'Alithea Barcodes'!$A$2:$A$97,0),2)</f>
        <v>ACAAGTTCGGAACC</v>
      </c>
      <c r="F85" s="32"/>
    </row>
    <row r="86" spans="1:6" ht="19">
      <c r="A86" s="32">
        <v>85</v>
      </c>
      <c r="B86" s="40" t="s">
        <v>117</v>
      </c>
      <c r="C86" s="40"/>
      <c r="D86" s="47" t="s">
        <v>351</v>
      </c>
      <c r="E86" s="13" t="str">
        <f>INDEX('Alithea Barcodes'!$A$2:$C$97,MATCH('Reverse Transcription'!B86,'Alithea Barcodes'!$A$2:$A$97,0),2)</f>
        <v>ATTGGTTCAAGTCA</v>
      </c>
      <c r="F86" s="32"/>
    </row>
    <row r="87" spans="1:6" ht="19">
      <c r="A87" s="32">
        <v>86</v>
      </c>
      <c r="B87" s="40" t="s">
        <v>118</v>
      </c>
      <c r="C87" s="40"/>
      <c r="D87" s="47" t="s">
        <v>352</v>
      </c>
      <c r="E87" s="13" t="str">
        <f>INDEX('Alithea Barcodes'!$A$2:$C$97,MATCH('Reverse Transcription'!B87,'Alithea Barcodes'!$A$2:$A$97,0),2)</f>
        <v>ACCTGGAGAGATAG</v>
      </c>
      <c r="F87" s="32"/>
    </row>
    <row r="88" spans="1:6" ht="19">
      <c r="A88" s="32">
        <v>87</v>
      </c>
      <c r="B88" s="40" t="s">
        <v>119</v>
      </c>
      <c r="C88" s="40"/>
      <c r="D88" s="47" t="s">
        <v>353</v>
      </c>
      <c r="E88" s="13" t="str">
        <f>INDEX('Alithea Barcodes'!$A$2:$C$97,MATCH('Reverse Transcription'!B88,'Alithea Barcodes'!$A$2:$A$97,0),2)</f>
        <v>TCGATGATTCTTCC</v>
      </c>
      <c r="F88" s="32"/>
    </row>
    <row r="89" spans="1:6" ht="19">
      <c r="A89" s="32">
        <v>88</v>
      </c>
      <c r="B89" s="40" t="s">
        <v>120</v>
      </c>
      <c r="C89" s="40"/>
      <c r="D89" s="47" t="s">
        <v>354</v>
      </c>
      <c r="E89" s="13" t="str">
        <f>INDEX('Alithea Barcodes'!$A$2:$C$97,MATCH('Reverse Transcription'!B89,'Alithea Barcodes'!$A$2:$A$97,0),2)</f>
        <v>TTCGGCGTTGGACC</v>
      </c>
      <c r="F89" s="32"/>
    </row>
    <row r="90" spans="1:6" ht="19">
      <c r="A90" s="32">
        <v>89</v>
      </c>
      <c r="B90" s="40" t="s">
        <v>121</v>
      </c>
      <c r="C90" s="40"/>
      <c r="D90" s="47" t="s">
        <v>355</v>
      </c>
      <c r="E90" s="13" t="str">
        <f>INDEX('Alithea Barcodes'!$A$2:$C$97,MATCH('Reverse Transcription'!B90,'Alithea Barcodes'!$A$2:$A$97,0),2)</f>
        <v>CTCCGAACCAGTAC</v>
      </c>
      <c r="F90" s="32"/>
    </row>
    <row r="91" spans="1:6" ht="19">
      <c r="A91" s="32">
        <v>90</v>
      </c>
      <c r="B91" s="40" t="s">
        <v>122</v>
      </c>
      <c r="C91" s="40"/>
      <c r="D91" s="47" t="s">
        <v>356</v>
      </c>
      <c r="E91" s="13" t="str">
        <f>INDEX('Alithea Barcodes'!$A$2:$C$97,MATCH('Reverse Transcription'!B91,'Alithea Barcodes'!$A$2:$A$97,0),2)</f>
        <v>CTAGCTCTCGTCAG</v>
      </c>
      <c r="F91" s="32"/>
    </row>
    <row r="92" spans="1:6" ht="19">
      <c r="A92" s="32">
        <v>91</v>
      </c>
      <c r="B92" s="40" t="s">
        <v>123</v>
      </c>
      <c r="C92" s="40"/>
      <c r="D92" s="47" t="s">
        <v>357</v>
      </c>
      <c r="E92" s="13" t="str">
        <f>INDEX('Alithea Barcodes'!$A$2:$C$97,MATCH('Reverse Transcription'!B92,'Alithea Barcodes'!$A$2:$A$97,0),2)</f>
        <v>TAATGCACTGCGCC</v>
      </c>
      <c r="F92" s="32"/>
    </row>
    <row r="93" spans="1:6" ht="19">
      <c r="A93" s="32">
        <v>92</v>
      </c>
      <c r="B93" s="40" t="s">
        <v>124</v>
      </c>
      <c r="C93" s="40"/>
      <c r="D93" s="47" t="s">
        <v>358</v>
      </c>
      <c r="E93" s="13" t="str">
        <f>INDEX('Alithea Barcodes'!$A$2:$C$97,MATCH('Reverse Transcription'!B93,'Alithea Barcodes'!$A$2:$A$97,0),2)</f>
        <v>CAGGTTAACCGTAC</v>
      </c>
      <c r="F93" s="32"/>
    </row>
    <row r="94" spans="1:6" ht="19">
      <c r="A94" s="32">
        <v>93</v>
      </c>
      <c r="B94" s="40" t="s">
        <v>125</v>
      </c>
      <c r="D94" s="47" t="s">
        <v>359</v>
      </c>
      <c r="E94" s="13" t="str">
        <f>INDEX('Alithea Barcodes'!$A$2:$C$97,MATCH('Reverse Transcription'!B94,'Alithea Barcodes'!$A$2:$A$97,0),2)</f>
        <v>TTCCGTAGGTCTGA</v>
      </c>
      <c r="F94" s="32"/>
    </row>
    <row r="95" spans="1:6" ht="19">
      <c r="A95" s="32">
        <v>94</v>
      </c>
      <c r="B95" s="40" t="s">
        <v>126</v>
      </c>
      <c r="D95" s="47" t="s">
        <v>360</v>
      </c>
      <c r="E95" s="13" t="str">
        <f>INDEX('Alithea Barcodes'!$A$2:$C$97,MATCH('Reverse Transcription'!B95,'Alithea Barcodes'!$A$2:$A$97,0),2)</f>
        <v>TAGCGTTAGTGGAA</v>
      </c>
      <c r="F95" s="32"/>
    </row>
    <row r="96" spans="1:6" ht="19">
      <c r="A96" s="32">
        <v>95</v>
      </c>
      <c r="B96" s="40" t="s">
        <v>127</v>
      </c>
      <c r="D96" s="47" t="s">
        <v>361</v>
      </c>
      <c r="E96" s="13" t="str">
        <f>INDEX('Alithea Barcodes'!$A$2:$C$97,MATCH('Reverse Transcription'!B96,'Alithea Barcodes'!$A$2:$A$97,0),2)</f>
        <v>CTGTACTATCACAG</v>
      </c>
      <c r="F96" s="32"/>
    </row>
    <row r="97" spans="1:6" ht="19">
      <c r="A97" s="32">
        <v>96</v>
      </c>
      <c r="B97" s="40" t="s">
        <v>128</v>
      </c>
      <c r="D97" s="47" t="s">
        <v>362</v>
      </c>
      <c r="E97" s="13" t="str">
        <f>INDEX('Alithea Barcodes'!$A$2:$C$97,MATCH('Reverse Transcription'!B97,'Alithea Barcodes'!$A$2:$A$97,0),2)</f>
        <v>CAGCGTATCTATCA</v>
      </c>
      <c r="F97" s="32"/>
    </row>
    <row r="98" spans="1:6">
      <c r="D98" s="47"/>
    </row>
    <row r="99" spans="1:6">
      <c r="D99" s="47"/>
    </row>
    <row r="100" spans="1:6">
      <c r="D100" s="47"/>
    </row>
    <row r="101" spans="1:6">
      <c r="D101" s="47"/>
    </row>
    <row r="102" spans="1:6">
      <c r="D102" s="47"/>
    </row>
    <row r="103" spans="1:6">
      <c r="D103" s="47"/>
    </row>
    <row r="104" spans="1:6">
      <c r="D104" s="47"/>
    </row>
    <row r="105" spans="1:6">
      <c r="D105" s="4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831F-32C8-BE4A-A443-6A474FBE6321}">
  <dimension ref="A1:F37"/>
  <sheetViews>
    <sheetView workbookViewId="0">
      <selection activeCell="B33" sqref="B33"/>
    </sheetView>
  </sheetViews>
  <sheetFormatPr baseColWidth="10" defaultColWidth="11" defaultRowHeight="16"/>
  <cols>
    <col min="1" max="1" width="35.5" customWidth="1"/>
    <col min="2" max="2" width="26.33203125" customWidth="1"/>
    <col min="3" max="3" width="25.5" customWidth="1"/>
    <col min="4" max="4" width="26.5" customWidth="1"/>
    <col min="5" max="5" width="8.6640625" customWidth="1"/>
    <col min="6" max="6" width="23.1640625" customWidth="1"/>
    <col min="7" max="7" width="24" customWidth="1"/>
  </cols>
  <sheetData>
    <row r="1" spans="1:6" ht="19">
      <c r="A1" s="9"/>
    </row>
    <row r="2" spans="1:6" ht="19">
      <c r="A2" s="23" t="s">
        <v>129</v>
      </c>
      <c r="B2" s="22"/>
    </row>
    <row r="3" spans="1:6" ht="19">
      <c r="A3" s="19" t="s">
        <v>130</v>
      </c>
      <c r="B3" s="15">
        <v>48</v>
      </c>
      <c r="C3" s="13"/>
      <c r="D3" s="13"/>
      <c r="E3" s="13"/>
    </row>
    <row r="4" spans="1:6" ht="19">
      <c r="A4" s="19" t="s">
        <v>131</v>
      </c>
      <c r="B4" s="15">
        <v>500</v>
      </c>
      <c r="C4" s="13"/>
      <c r="D4" s="13"/>
      <c r="E4" s="13"/>
    </row>
    <row r="5" spans="1:6" ht="19">
      <c r="A5" s="19" t="s">
        <v>132</v>
      </c>
      <c r="B5" s="18">
        <f>371/B3</f>
        <v>7.729166666666667</v>
      </c>
      <c r="C5" s="13" t="s">
        <v>320</v>
      </c>
      <c r="D5" s="13"/>
      <c r="E5" s="13"/>
    </row>
    <row r="6" spans="1:6" ht="19">
      <c r="A6" s="19" t="s">
        <v>133</v>
      </c>
      <c r="B6" s="15">
        <f>B3*B5</f>
        <v>371</v>
      </c>
      <c r="C6" s="13"/>
      <c r="D6" s="13"/>
      <c r="E6" s="13"/>
    </row>
    <row r="7" spans="1:6" ht="19">
      <c r="A7" s="19" t="s">
        <v>134</v>
      </c>
      <c r="B7" s="15">
        <f>B3*(B5/20)*B4</f>
        <v>9275</v>
      </c>
      <c r="C7" s="13" t="str">
        <f>IF(B7&lt;=10000,"PASS","FAIL: More than 10,000 ng in the pool. Please reduce pooled volume")</f>
        <v>PASS</v>
      </c>
      <c r="D7" s="13"/>
      <c r="E7" s="13"/>
    </row>
    <row r="8" spans="1:6" ht="19">
      <c r="A8" s="19" t="s">
        <v>135</v>
      </c>
      <c r="B8" s="15">
        <f>7*B6</f>
        <v>2597</v>
      </c>
      <c r="C8" s="13"/>
      <c r="D8" s="13"/>
      <c r="E8" s="13"/>
    </row>
    <row r="9" spans="1:6" ht="19">
      <c r="A9" s="19" t="s">
        <v>136</v>
      </c>
      <c r="B9" s="15">
        <f>B6+B8</f>
        <v>2968</v>
      </c>
      <c r="C9" s="13" t="str">
        <f>IF(B9&lt;4800,"PASS","FAIL: Volume pooled exceeds 4.8 mL. Please reduced pooled volume")</f>
        <v>PASS</v>
      </c>
      <c r="D9" s="13"/>
      <c r="E9" s="13"/>
    </row>
    <row r="10" spans="1:6" ht="19">
      <c r="A10" s="19" t="s">
        <v>137</v>
      </c>
      <c r="B10" s="16" t="s">
        <v>371</v>
      </c>
      <c r="C10" s="13"/>
      <c r="D10" s="13"/>
      <c r="E10" s="13"/>
    </row>
    <row r="11" spans="1:6" ht="19">
      <c r="A11" s="13"/>
      <c r="B11" s="13"/>
      <c r="C11" s="13"/>
      <c r="D11" s="13"/>
      <c r="E11" s="13"/>
    </row>
    <row r="12" spans="1:6" ht="19">
      <c r="A12" s="19" t="s">
        <v>138</v>
      </c>
      <c r="B12" s="19"/>
      <c r="C12" s="19"/>
      <c r="D12" s="19"/>
      <c r="E12" s="19"/>
      <c r="F12" s="22"/>
    </row>
    <row r="13" spans="1:6" ht="19">
      <c r="A13" s="19" t="s">
        <v>139</v>
      </c>
      <c r="B13" s="19"/>
      <c r="C13" s="19"/>
      <c r="D13" s="19"/>
      <c r="E13" s="19"/>
      <c r="F13" s="22"/>
    </row>
    <row r="14" spans="1:6" ht="19">
      <c r="A14" s="13"/>
      <c r="B14" s="13"/>
      <c r="C14" s="13"/>
      <c r="D14" s="13"/>
      <c r="E14" s="13"/>
    </row>
    <row r="15" spans="1:6" ht="19">
      <c r="A15" s="9"/>
      <c r="B15" s="13"/>
      <c r="C15" s="13"/>
      <c r="D15" s="13"/>
      <c r="E15" s="13"/>
    </row>
    <row r="16" spans="1:6" ht="19">
      <c r="A16" s="24" t="s">
        <v>140</v>
      </c>
      <c r="B16" s="13"/>
      <c r="C16" s="13"/>
      <c r="D16" s="13"/>
      <c r="E16" s="13"/>
    </row>
    <row r="17" spans="1:5" ht="19">
      <c r="A17" s="13" t="s">
        <v>141</v>
      </c>
      <c r="B17" s="13" t="s">
        <v>142</v>
      </c>
      <c r="C17" s="13"/>
      <c r="D17" s="13"/>
      <c r="E17" s="13"/>
    </row>
    <row r="18" spans="1:5" ht="19">
      <c r="A18" s="20" t="s">
        <v>143</v>
      </c>
      <c r="B18" s="17">
        <f>IF(B$10="Two",35,IF(B$10="One",17,"Error: Unexpected number of columns"))</f>
        <v>17</v>
      </c>
      <c r="C18" s="13"/>
      <c r="D18" s="13"/>
      <c r="E18" s="13"/>
    </row>
    <row r="19" spans="1:5" ht="19">
      <c r="A19" s="20" t="s">
        <v>144</v>
      </c>
      <c r="B19" s="17">
        <f>IF(B$10="Two",4,IF(B$10="One",2,"Error: Unexpected number of columns"))</f>
        <v>2</v>
      </c>
      <c r="C19" s="13"/>
      <c r="D19" s="13"/>
      <c r="E19" s="13"/>
    </row>
    <row r="20" spans="1:5" ht="19">
      <c r="A20" s="20" t="s">
        <v>145</v>
      </c>
      <c r="B20" s="17">
        <f>IF(B$10="Two",1,IF(B$10="One",1,"Error: Unexpected number of columns"))</f>
        <v>1</v>
      </c>
      <c r="C20" s="13"/>
      <c r="D20" s="13"/>
      <c r="E20" s="13"/>
    </row>
    <row r="21" spans="1:5" ht="19">
      <c r="A21" s="20" t="s">
        <v>146</v>
      </c>
      <c r="B21" s="17">
        <f>B19+B20</f>
        <v>3</v>
      </c>
      <c r="C21" s="13"/>
      <c r="D21" s="13"/>
      <c r="E21" s="13"/>
    </row>
    <row r="22" spans="1:5" ht="19">
      <c r="A22" s="13"/>
      <c r="B22" s="13"/>
      <c r="C22" s="13"/>
      <c r="D22" s="13"/>
      <c r="E22" s="13"/>
    </row>
    <row r="23" spans="1:5" ht="19">
      <c r="A23" s="9"/>
      <c r="B23" s="13"/>
      <c r="C23" s="13"/>
      <c r="D23" s="13"/>
      <c r="E23" s="13"/>
    </row>
    <row r="24" spans="1:5" ht="19">
      <c r="A24" s="11" t="s">
        <v>147</v>
      </c>
      <c r="B24" s="13"/>
      <c r="C24" s="13"/>
      <c r="D24" s="13"/>
      <c r="E24" s="13"/>
    </row>
    <row r="25" spans="1:5" ht="19">
      <c r="A25" s="21" t="s">
        <v>148</v>
      </c>
      <c r="B25" s="13" t="s">
        <v>149</v>
      </c>
      <c r="C25" s="13"/>
      <c r="D25" s="13"/>
      <c r="E25" s="13"/>
    </row>
    <row r="26" spans="1:5" ht="19">
      <c r="A26" s="21" t="s">
        <v>150</v>
      </c>
      <c r="B26" s="13">
        <f>IF(B$10="Two",7,IF(B$10="One",5,"Error: Unexpected number of columns"))</f>
        <v>5</v>
      </c>
      <c r="C26" s="13"/>
      <c r="D26" s="13"/>
      <c r="E26" s="13"/>
    </row>
    <row r="27" spans="1:5" ht="19">
      <c r="A27" s="21" t="s">
        <v>151</v>
      </c>
      <c r="B27" s="13">
        <f>IF(B$10="Two",3,IF(B$10="One",2,"Error: Unexpected number of columns"))</f>
        <v>2</v>
      </c>
      <c r="C27" s="13"/>
      <c r="D27" s="13"/>
      <c r="E27" s="13"/>
    </row>
    <row r="28" spans="1:5" ht="19">
      <c r="A28" s="21" t="s">
        <v>152</v>
      </c>
      <c r="B28" s="13">
        <f>SUM(B26:B27)</f>
        <v>7</v>
      </c>
      <c r="C28" s="13"/>
      <c r="D28" s="13"/>
      <c r="E28" s="13"/>
    </row>
    <row r="29" spans="1:5" ht="19">
      <c r="A29" s="13"/>
      <c r="B29" s="13"/>
      <c r="C29" s="13"/>
      <c r="D29" s="13"/>
      <c r="E29" s="13"/>
    </row>
    <row r="30" spans="1:5" ht="19">
      <c r="A30" s="13"/>
      <c r="B30" s="13"/>
      <c r="C30" s="13"/>
      <c r="D30" s="13"/>
      <c r="E30" s="13"/>
    </row>
    <row r="31" spans="1:5" ht="19">
      <c r="A31" s="8" t="s">
        <v>153</v>
      </c>
      <c r="B31" s="13"/>
      <c r="C31" s="13"/>
      <c r="D31" s="13"/>
      <c r="E31" s="13"/>
    </row>
    <row r="32" spans="1:5" ht="19">
      <c r="A32" s="25" t="s">
        <v>154</v>
      </c>
      <c r="B32" s="18">
        <v>1.99</v>
      </c>
      <c r="C32" s="13"/>
      <c r="D32" s="13"/>
      <c r="E32" s="13"/>
    </row>
    <row r="33" spans="1:5" ht="19">
      <c r="A33" s="25" t="s">
        <v>155</v>
      </c>
      <c r="B33" s="13">
        <f>B32*20</f>
        <v>39.799999999999997</v>
      </c>
      <c r="C33" s="13"/>
      <c r="D33" s="13"/>
      <c r="E33" s="13"/>
    </row>
    <row r="34" spans="1:5" ht="19">
      <c r="A34" s="13"/>
      <c r="B34" s="13"/>
      <c r="C34" s="13"/>
      <c r="D34" s="13"/>
      <c r="E34" s="13"/>
    </row>
    <row r="35" spans="1:5" ht="19">
      <c r="A35" s="13"/>
      <c r="B35" s="13"/>
      <c r="C35" s="13"/>
      <c r="D35" s="13"/>
      <c r="E35" s="13"/>
    </row>
    <row r="36" spans="1:5" ht="19">
      <c r="A36" s="13"/>
      <c r="B36" s="13"/>
      <c r="C36" s="13"/>
      <c r="D36" s="13"/>
      <c r="E36" s="13"/>
    </row>
    <row r="37" spans="1:5" ht="19">
      <c r="A37" s="13"/>
      <c r="B37" s="13"/>
      <c r="C37" s="13"/>
      <c r="D37" s="13"/>
      <c r="E3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7981-8669-0140-9541-4E743B73E527}">
  <dimension ref="A1:E30"/>
  <sheetViews>
    <sheetView zoomScale="110" zoomScaleNormal="110" workbookViewId="0">
      <selection activeCell="E17" sqref="E17"/>
    </sheetView>
  </sheetViews>
  <sheetFormatPr baseColWidth="10" defaultColWidth="11" defaultRowHeight="16"/>
  <cols>
    <col min="1" max="1" width="30.5" customWidth="1"/>
    <col min="2" max="2" width="32.83203125" customWidth="1"/>
    <col min="3" max="3" width="19.6640625" customWidth="1"/>
    <col min="4" max="4" width="20.1640625" customWidth="1"/>
    <col min="5" max="5" width="23.6640625" customWidth="1"/>
    <col min="6" max="6" width="12.1640625" customWidth="1"/>
  </cols>
  <sheetData>
    <row r="1" spans="1:2" ht="19">
      <c r="A1" s="27" t="s">
        <v>156</v>
      </c>
      <c r="B1" s="13"/>
    </row>
    <row r="2" spans="1:2" ht="19">
      <c r="A2" s="18" t="s">
        <v>157</v>
      </c>
      <c r="B2" s="18">
        <v>10</v>
      </c>
    </row>
    <row r="3" spans="1:2" ht="19">
      <c r="A3" s="26" t="s">
        <v>158</v>
      </c>
      <c r="B3" s="13">
        <f>13-B2</f>
        <v>3</v>
      </c>
    </row>
    <row r="4" spans="1:2" ht="19">
      <c r="A4" s="26" t="s">
        <v>159</v>
      </c>
      <c r="B4" s="13">
        <v>4</v>
      </c>
    </row>
    <row r="5" spans="1:2" ht="19">
      <c r="A5" s="26" t="s">
        <v>160</v>
      </c>
      <c r="B5" s="13">
        <v>3</v>
      </c>
    </row>
    <row r="6" spans="1:2" ht="19">
      <c r="A6" s="26" t="s">
        <v>161</v>
      </c>
      <c r="B6" s="13" t="s">
        <v>162</v>
      </c>
    </row>
    <row r="7" spans="1:2" ht="19">
      <c r="A7" s="13"/>
      <c r="B7" s="13"/>
    </row>
    <row r="8" spans="1:2" ht="19">
      <c r="A8" s="11" t="s">
        <v>163</v>
      </c>
      <c r="B8" s="21"/>
    </row>
    <row r="9" spans="1:2" ht="19">
      <c r="A9" s="21" t="s">
        <v>164</v>
      </c>
      <c r="B9" s="13" t="s">
        <v>201</v>
      </c>
    </row>
    <row r="10" spans="1:2" ht="19">
      <c r="A10" s="21" t="s">
        <v>166</v>
      </c>
      <c r="B10" s="13">
        <v>15</v>
      </c>
    </row>
    <row r="11" spans="1:2" ht="19">
      <c r="A11" s="13"/>
      <c r="B11" s="13"/>
    </row>
    <row r="12" spans="1:2" ht="19">
      <c r="A12" s="28" t="s">
        <v>167</v>
      </c>
      <c r="B12" s="13"/>
    </row>
    <row r="13" spans="1:2" ht="19">
      <c r="A13" s="14" t="s">
        <v>168</v>
      </c>
      <c r="B13" s="13"/>
    </row>
    <row r="14" spans="1:2" ht="19">
      <c r="A14" s="14" t="s">
        <v>169</v>
      </c>
      <c r="B14" s="42"/>
    </row>
    <row r="15" spans="1:2" ht="19">
      <c r="A15" s="14" t="s">
        <v>170</v>
      </c>
      <c r="B15" s="42"/>
    </row>
    <row r="16" spans="1:2" ht="19">
      <c r="A16" s="14" t="s">
        <v>171</v>
      </c>
      <c r="B16" s="42" t="s">
        <v>373</v>
      </c>
    </row>
    <row r="17" spans="1:5" ht="19">
      <c r="A17" s="14" t="s">
        <v>172</v>
      </c>
      <c r="B17" s="13" t="s">
        <v>372</v>
      </c>
      <c r="C17" t="s">
        <v>374</v>
      </c>
    </row>
    <row r="18" spans="1:5" ht="19">
      <c r="A18" s="13"/>
      <c r="B18" s="13"/>
    </row>
    <row r="19" spans="1:5" ht="19">
      <c r="A19" s="14" t="s">
        <v>173</v>
      </c>
      <c r="B19" s="13"/>
    </row>
    <row r="20" spans="1:5" ht="19">
      <c r="A20" s="13"/>
      <c r="B20" s="13"/>
    </row>
    <row r="21" spans="1:5" s="1" customFormat="1" ht="19">
      <c r="A21" s="15"/>
      <c r="B21" s="15"/>
    </row>
    <row r="22" spans="1:5" ht="19">
      <c r="A22" s="9" t="s">
        <v>174</v>
      </c>
      <c r="B22" s="13"/>
    </row>
    <row r="23" spans="1:5">
      <c r="A23" s="48" t="s">
        <v>175</v>
      </c>
      <c r="B23" s="48" t="s">
        <v>176</v>
      </c>
      <c r="C23" s="49" t="s">
        <v>177</v>
      </c>
      <c r="D23" s="48" t="s">
        <v>178</v>
      </c>
      <c r="E23" s="49" t="s">
        <v>179</v>
      </c>
    </row>
    <row r="24" spans="1:5">
      <c r="A24" s="48"/>
      <c r="B24" s="48"/>
      <c r="C24" s="50"/>
      <c r="D24" s="48"/>
      <c r="E24" s="50"/>
    </row>
    <row r="25" spans="1:5" ht="16" customHeight="1">
      <c r="A25" t="s">
        <v>322</v>
      </c>
      <c r="B25" t="str">
        <f>INDEX('Alithea Barcodes'!$E$2:$L$5,MATCH(Tagmentation!$B$9,'Alithea Barcodes'!$E$2:$E$5,0),3)</f>
        <v>MQ.UDI.2(N702)</v>
      </c>
      <c r="C25" t="str">
        <f>INDEX('Alithea Barcodes'!$E$2:$L$5,MATCH(Tagmentation!$B$9,'Alithea Barcodes'!$E$2:$E$5,0),6)</f>
        <v>MQ.UDI.2(D502)</v>
      </c>
      <c r="D25" t="str">
        <f>INDEX('Alithea Barcodes'!$E$2:$L$5,MATCH(Tagmentation!$B$9,'Alithea Barcodes'!$E$2:$E$5,0),4)</f>
        <v>CGTACTAG</v>
      </c>
      <c r="E25" t="str">
        <f>INDEX('Alithea Barcodes'!$E$2:$L$5,MATCH(Tagmentation!$B$9,'Alithea Barcodes'!$E$2:$E$5,0),7)</f>
        <v>ATAGAGGC</v>
      </c>
    </row>
    <row r="26" spans="1:5" ht="16" customHeight="1"/>
    <row r="27" spans="1:5" s="1" customFormat="1"/>
    <row r="28" spans="1:5" ht="19">
      <c r="A28" s="9" t="s">
        <v>180</v>
      </c>
    </row>
    <row r="29" spans="1:5">
      <c r="A29" s="2" t="s">
        <v>181</v>
      </c>
      <c r="B29" s="3" t="s">
        <v>182</v>
      </c>
      <c r="C29" s="2" t="s">
        <v>183</v>
      </c>
      <c r="D29" s="2" t="s">
        <v>184</v>
      </c>
      <c r="E29" s="4" t="s">
        <v>185</v>
      </c>
    </row>
    <row r="30" spans="1:5">
      <c r="A30" s="5" t="str">
        <f>B9</f>
        <v>MQ.UDI.2</v>
      </c>
      <c r="B30" s="5" t="str">
        <f>B9</f>
        <v>MQ.UDI.2</v>
      </c>
      <c r="C30" t="str">
        <f>INDEX('Alithea Barcodes'!$E$2:$L$5,MATCH(Tagmentation!$B$9,'Alithea Barcodes'!$E$2:$E$5,0),4)</f>
        <v>CGTACTAG</v>
      </c>
      <c r="D30" t="str">
        <f>INDEX('Alithea Barcodes'!$E$2:$L$5,MATCH(Tagmentation!$B$9,'Alithea Barcodes'!$E$2:$E$5,0),7)</f>
        <v>ATAGAGGC</v>
      </c>
      <c r="E30" s="6" t="str">
        <f>CONCATENATE(C30,"-",D30)</f>
        <v>CGTACTAG-ATAGAGGC</v>
      </c>
    </row>
  </sheetData>
  <mergeCells count="5">
    <mergeCell ref="A23:A24"/>
    <mergeCell ref="B23:B24"/>
    <mergeCell ref="C23:C24"/>
    <mergeCell ref="D23:D24"/>
    <mergeCell ref="E23:E2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0E870C-86FB-F74F-8F97-DBB33990FF42}">
          <x14:formula1>
            <xm:f>'Alithea Barcodes'!$E$2:$E$5</xm:f>
          </x14:formula1>
          <xm:sqref>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F82C-73FF-184E-9670-8D7009EDF1C0}">
  <dimension ref="A1:V97"/>
  <sheetViews>
    <sheetView workbookViewId="0">
      <selection activeCell="B2" sqref="B2"/>
    </sheetView>
  </sheetViews>
  <sheetFormatPr baseColWidth="10" defaultColWidth="11" defaultRowHeight="16"/>
  <cols>
    <col min="1" max="1" width="14.83203125" customWidth="1"/>
    <col min="2" max="2" width="27.1640625" customWidth="1"/>
    <col min="3" max="3" width="24.5" customWidth="1"/>
    <col min="4" max="4" width="10.83203125" style="30"/>
    <col min="5" max="5" width="23.6640625" customWidth="1"/>
    <col min="6" max="6" width="19.33203125" customWidth="1"/>
    <col min="7" max="7" width="28.1640625" customWidth="1"/>
    <col min="8" max="8" width="20.83203125" customWidth="1"/>
    <col min="9" max="9" width="22.5" customWidth="1"/>
    <col min="10" max="10" width="27.5" customWidth="1"/>
    <col min="11" max="11" width="29.83203125" customWidth="1"/>
    <col min="12" max="12" width="27.1640625" customWidth="1"/>
  </cols>
  <sheetData>
    <row r="1" spans="1:22" ht="19">
      <c r="A1" s="21" t="s">
        <v>20</v>
      </c>
      <c r="B1" s="21" t="s">
        <v>186</v>
      </c>
      <c r="C1" s="21" t="s">
        <v>187</v>
      </c>
      <c r="D1" s="29"/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190</v>
      </c>
      <c r="K1" s="21" t="s">
        <v>193</v>
      </c>
      <c r="L1" s="21" t="s">
        <v>194</v>
      </c>
    </row>
    <row r="2" spans="1:22" ht="19">
      <c r="A2" s="13" t="s">
        <v>25</v>
      </c>
      <c r="B2" t="s">
        <v>223</v>
      </c>
      <c r="C2" s="13" t="s">
        <v>319</v>
      </c>
      <c r="D2" s="29"/>
      <c r="E2" s="13" t="s">
        <v>195</v>
      </c>
      <c r="F2" s="13" t="s">
        <v>196</v>
      </c>
      <c r="G2" s="13" t="str">
        <f>CONCATENATE(E2,"(",F2,")")</f>
        <v>MQ.UDI.1(N701)</v>
      </c>
      <c r="H2" s="13" t="s">
        <v>197</v>
      </c>
      <c r="I2" s="13" t="s">
        <v>198</v>
      </c>
      <c r="J2" s="13" t="str">
        <f>CONCATENATE(E2,"(",I2,")")</f>
        <v>MQ.UDI.1(D501)</v>
      </c>
      <c r="K2" s="13" t="s">
        <v>199</v>
      </c>
      <c r="L2" s="13" t="s">
        <v>200</v>
      </c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19">
      <c r="A3" s="13" t="s">
        <v>41</v>
      </c>
      <c r="B3" t="s">
        <v>224</v>
      </c>
      <c r="C3" s="13" t="s">
        <v>319</v>
      </c>
      <c r="D3" s="29"/>
      <c r="E3" s="13" t="s">
        <v>201</v>
      </c>
      <c r="F3" s="13" t="s">
        <v>202</v>
      </c>
      <c r="G3" s="13" t="str">
        <f t="shared" ref="G3:G5" si="0">CONCATENATE(E3,"(",F3,")")</f>
        <v>MQ.UDI.2(N702)</v>
      </c>
      <c r="H3" s="13" t="s">
        <v>203</v>
      </c>
      <c r="I3" s="13" t="s">
        <v>204</v>
      </c>
      <c r="J3" s="13" t="str">
        <f t="shared" ref="J3:J5" si="1">CONCATENATE(E3,"(",I3,")")</f>
        <v>MQ.UDI.2(D502)</v>
      </c>
      <c r="K3" s="13" t="s">
        <v>205</v>
      </c>
      <c r="L3" s="13" t="s">
        <v>206</v>
      </c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19">
      <c r="A4" s="13" t="s">
        <v>49</v>
      </c>
      <c r="B4" t="s">
        <v>225</v>
      </c>
      <c r="C4" s="13" t="s">
        <v>319</v>
      </c>
      <c r="D4" s="29"/>
      <c r="E4" s="13" t="s">
        <v>207</v>
      </c>
      <c r="F4" s="13" t="s">
        <v>208</v>
      </c>
      <c r="G4" s="13" t="str">
        <f t="shared" si="0"/>
        <v>MQ.UDI.3(N703)</v>
      </c>
      <c r="H4" s="13" t="s">
        <v>209</v>
      </c>
      <c r="I4" s="13" t="s">
        <v>210</v>
      </c>
      <c r="J4" s="13" t="str">
        <f t="shared" si="1"/>
        <v>MQ.UDI.3(D503)</v>
      </c>
      <c r="K4" s="13" t="s">
        <v>211</v>
      </c>
      <c r="L4" s="13" t="s">
        <v>212</v>
      </c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19">
      <c r="A5" s="13" t="s">
        <v>57</v>
      </c>
      <c r="B5" t="s">
        <v>226</v>
      </c>
      <c r="C5" s="13" t="s">
        <v>319</v>
      </c>
      <c r="D5" s="29"/>
      <c r="E5" s="13" t="s">
        <v>165</v>
      </c>
      <c r="F5" s="13" t="s">
        <v>213</v>
      </c>
      <c r="G5" s="13" t="str">
        <f t="shared" si="0"/>
        <v>MQ.UDI.4(N704)</v>
      </c>
      <c r="H5" s="13" t="s">
        <v>214</v>
      </c>
      <c r="I5" s="13" t="s">
        <v>215</v>
      </c>
      <c r="J5" s="13" t="str">
        <f t="shared" si="1"/>
        <v>MQ.UDI.4(D504)</v>
      </c>
      <c r="K5" s="13" t="s">
        <v>216</v>
      </c>
      <c r="L5" s="13" t="s">
        <v>217</v>
      </c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19">
      <c r="A6" s="13" t="s">
        <v>65</v>
      </c>
      <c r="B6" t="s">
        <v>227</v>
      </c>
      <c r="C6" s="13" t="s">
        <v>319</v>
      </c>
      <c r="D6" s="29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19">
      <c r="A7" s="13" t="s">
        <v>73</v>
      </c>
      <c r="B7" t="s">
        <v>228</v>
      </c>
      <c r="C7" s="13" t="s">
        <v>319</v>
      </c>
      <c r="D7" s="29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9">
      <c r="A8" s="13" t="s">
        <v>81</v>
      </c>
      <c r="B8" t="s">
        <v>229</v>
      </c>
      <c r="C8" s="13" t="s">
        <v>319</v>
      </c>
      <c r="D8" s="29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9">
      <c r="A9" s="13" t="s">
        <v>89</v>
      </c>
      <c r="B9" t="s">
        <v>230</v>
      </c>
      <c r="C9" s="13" t="s">
        <v>319</v>
      </c>
      <c r="D9" s="29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19">
      <c r="A10" s="13" t="s">
        <v>97</v>
      </c>
      <c r="B10" t="s">
        <v>231</v>
      </c>
      <c r="C10" s="13" t="s">
        <v>319</v>
      </c>
      <c r="D10" s="29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9">
      <c r="A11" s="13" t="s">
        <v>105</v>
      </c>
      <c r="B11" t="s">
        <v>232</v>
      </c>
      <c r="C11" s="13" t="s">
        <v>319</v>
      </c>
      <c r="D11" s="29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9">
      <c r="A12" s="13" t="s">
        <v>113</v>
      </c>
      <c r="B12" t="s">
        <v>233</v>
      </c>
      <c r="C12" s="13" t="s">
        <v>319</v>
      </c>
      <c r="D12" s="29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9">
      <c r="A13" s="13" t="s">
        <v>121</v>
      </c>
      <c r="B13" t="s">
        <v>234</v>
      </c>
      <c r="C13" s="13" t="s">
        <v>319</v>
      </c>
      <c r="D13" s="29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9">
      <c r="A14" s="13" t="s">
        <v>27</v>
      </c>
      <c r="B14" t="s">
        <v>235</v>
      </c>
      <c r="C14" s="13" t="s">
        <v>319</v>
      </c>
      <c r="D14" s="29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9">
      <c r="A15" s="13" t="s">
        <v>42</v>
      </c>
      <c r="B15" t="s">
        <v>236</v>
      </c>
      <c r="C15" s="13" t="s">
        <v>319</v>
      </c>
      <c r="D15" s="29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9">
      <c r="A16" s="13" t="s">
        <v>50</v>
      </c>
      <c r="B16" t="s">
        <v>237</v>
      </c>
      <c r="C16" s="13" t="s">
        <v>319</v>
      </c>
      <c r="D16" s="2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9">
      <c r="A17" s="13" t="s">
        <v>58</v>
      </c>
      <c r="B17" t="s">
        <v>238</v>
      </c>
      <c r="C17" s="13" t="s">
        <v>319</v>
      </c>
      <c r="D17" s="2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9">
      <c r="A18" s="13" t="s">
        <v>66</v>
      </c>
      <c r="B18" t="s">
        <v>239</v>
      </c>
      <c r="C18" s="13" t="s">
        <v>319</v>
      </c>
      <c r="D18" s="2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9">
      <c r="A19" s="13" t="s">
        <v>74</v>
      </c>
      <c r="B19" t="s">
        <v>240</v>
      </c>
      <c r="C19" s="13" t="s">
        <v>319</v>
      </c>
      <c r="D19" s="2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9">
      <c r="A20" s="13" t="s">
        <v>82</v>
      </c>
      <c r="B20" t="s">
        <v>241</v>
      </c>
      <c r="C20" s="13" t="s">
        <v>319</v>
      </c>
      <c r="D20" s="2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9">
      <c r="A21" s="13" t="s">
        <v>90</v>
      </c>
      <c r="B21" t="s">
        <v>242</v>
      </c>
      <c r="C21" s="13" t="s">
        <v>319</v>
      </c>
      <c r="D21" s="2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9">
      <c r="A22" s="13" t="s">
        <v>98</v>
      </c>
      <c r="B22" t="s">
        <v>243</v>
      </c>
      <c r="C22" s="13" t="s">
        <v>319</v>
      </c>
      <c r="D22" s="2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9">
      <c r="A23" s="13" t="s">
        <v>106</v>
      </c>
      <c r="B23" t="s">
        <v>244</v>
      </c>
      <c r="C23" s="13" t="s">
        <v>319</v>
      </c>
      <c r="D23" s="2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19">
      <c r="A24" s="13" t="s">
        <v>114</v>
      </c>
      <c r="B24" t="s">
        <v>245</v>
      </c>
      <c r="C24" s="13" t="s">
        <v>319</v>
      </c>
      <c r="D24" s="2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9">
      <c r="A25" s="13" t="s">
        <v>122</v>
      </c>
      <c r="B25" t="s">
        <v>246</v>
      </c>
      <c r="C25" s="13" t="s">
        <v>319</v>
      </c>
      <c r="D25" s="2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9">
      <c r="A26" s="13" t="s">
        <v>29</v>
      </c>
      <c r="B26" t="s">
        <v>247</v>
      </c>
      <c r="C26" s="13" t="s">
        <v>319</v>
      </c>
      <c r="D26" s="2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9">
      <c r="A27" s="13" t="s">
        <v>43</v>
      </c>
      <c r="B27" t="s">
        <v>248</v>
      </c>
      <c r="C27" s="13" t="s">
        <v>319</v>
      </c>
      <c r="D27" s="2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19">
      <c r="A28" s="13" t="s">
        <v>51</v>
      </c>
      <c r="B28" t="s">
        <v>249</v>
      </c>
      <c r="C28" s="13" t="s">
        <v>319</v>
      </c>
      <c r="D28" s="2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19">
      <c r="A29" s="13" t="s">
        <v>59</v>
      </c>
      <c r="B29" t="s">
        <v>250</v>
      </c>
      <c r="C29" s="13" t="s">
        <v>319</v>
      </c>
      <c r="D29" s="2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19">
      <c r="A30" s="13" t="s">
        <v>67</v>
      </c>
      <c r="B30" t="s">
        <v>251</v>
      </c>
      <c r="C30" s="13" t="s">
        <v>319</v>
      </c>
      <c r="D30" s="2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19">
      <c r="A31" s="13" t="s">
        <v>75</v>
      </c>
      <c r="B31" t="s">
        <v>252</v>
      </c>
      <c r="C31" s="13" t="s">
        <v>319</v>
      </c>
      <c r="D31" s="2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9">
      <c r="A32" s="13" t="s">
        <v>83</v>
      </c>
      <c r="B32" t="s">
        <v>253</v>
      </c>
      <c r="C32" s="13" t="s">
        <v>319</v>
      </c>
      <c r="D32" s="2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9">
      <c r="A33" s="13" t="s">
        <v>91</v>
      </c>
      <c r="B33" t="s">
        <v>254</v>
      </c>
      <c r="C33" s="13" t="s">
        <v>319</v>
      </c>
      <c r="D33" s="2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9">
      <c r="A34" s="13" t="s">
        <v>99</v>
      </c>
      <c r="B34" t="s">
        <v>255</v>
      </c>
      <c r="C34" s="13" t="s">
        <v>319</v>
      </c>
      <c r="D34" s="2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9">
      <c r="A35" s="13" t="s">
        <v>107</v>
      </c>
      <c r="B35" t="s">
        <v>256</v>
      </c>
      <c r="C35" s="13" t="s">
        <v>319</v>
      </c>
      <c r="D35" s="2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9">
      <c r="A36" s="13" t="s">
        <v>115</v>
      </c>
      <c r="B36" t="s">
        <v>257</v>
      </c>
      <c r="C36" s="13" t="s">
        <v>319</v>
      </c>
      <c r="D36" s="2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9">
      <c r="A37" s="13" t="s">
        <v>123</v>
      </c>
      <c r="B37" t="s">
        <v>258</v>
      </c>
      <c r="C37" s="13" t="s">
        <v>319</v>
      </c>
      <c r="D37" s="2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19">
      <c r="A38" s="13" t="s">
        <v>31</v>
      </c>
      <c r="B38" t="s">
        <v>259</v>
      </c>
      <c r="C38" s="13" t="s">
        <v>319</v>
      </c>
      <c r="D38" s="2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9">
      <c r="A39" s="13" t="s">
        <v>44</v>
      </c>
      <c r="B39" t="s">
        <v>260</v>
      </c>
      <c r="C39" s="13" t="s">
        <v>319</v>
      </c>
      <c r="D39" s="2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19">
      <c r="A40" s="13" t="s">
        <v>52</v>
      </c>
      <c r="B40" t="s">
        <v>261</v>
      </c>
      <c r="C40" s="13" t="s">
        <v>319</v>
      </c>
      <c r="D40" s="2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19">
      <c r="A41" s="13" t="s">
        <v>60</v>
      </c>
      <c r="B41" t="s">
        <v>262</v>
      </c>
      <c r="C41" s="13" t="s">
        <v>319</v>
      </c>
      <c r="D41" s="2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19">
      <c r="A42" s="13" t="s">
        <v>68</v>
      </c>
      <c r="B42" t="s">
        <v>263</v>
      </c>
      <c r="C42" s="13" t="s">
        <v>319</v>
      </c>
      <c r="D42" s="2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9">
      <c r="A43" s="13" t="s">
        <v>76</v>
      </c>
      <c r="B43" t="s">
        <v>264</v>
      </c>
      <c r="C43" s="13" t="s">
        <v>319</v>
      </c>
      <c r="D43" s="2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19">
      <c r="A44" s="13" t="s">
        <v>84</v>
      </c>
      <c r="B44" t="s">
        <v>265</v>
      </c>
      <c r="C44" s="13" t="s">
        <v>319</v>
      </c>
      <c r="D44" s="2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19">
      <c r="A45" s="13" t="s">
        <v>92</v>
      </c>
      <c r="B45" t="s">
        <v>266</v>
      </c>
      <c r="C45" s="13" t="s">
        <v>319</v>
      </c>
      <c r="D45" s="2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19">
      <c r="A46" s="13" t="s">
        <v>100</v>
      </c>
      <c r="B46" t="s">
        <v>267</v>
      </c>
      <c r="C46" s="13" t="s">
        <v>319</v>
      </c>
      <c r="D46" s="2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9">
      <c r="A47" s="13" t="s">
        <v>108</v>
      </c>
      <c r="B47" t="s">
        <v>268</v>
      </c>
      <c r="C47" s="13" t="s">
        <v>319</v>
      </c>
      <c r="D47" s="2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19">
      <c r="A48" s="13" t="s">
        <v>116</v>
      </c>
      <c r="B48" t="s">
        <v>269</v>
      </c>
      <c r="C48" s="13" t="s">
        <v>319</v>
      </c>
      <c r="D48" s="2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9">
      <c r="A49" s="13" t="s">
        <v>124</v>
      </c>
      <c r="B49" t="s">
        <v>270</v>
      </c>
      <c r="C49" s="13" t="s">
        <v>319</v>
      </c>
      <c r="D49" s="2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9">
      <c r="A50" s="13" t="s">
        <v>33</v>
      </c>
      <c r="B50" t="s">
        <v>271</v>
      </c>
      <c r="C50" s="13" t="s">
        <v>319</v>
      </c>
      <c r="D50" s="2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9">
      <c r="A51" s="13" t="s">
        <v>45</v>
      </c>
      <c r="B51" t="s">
        <v>272</v>
      </c>
      <c r="C51" s="13" t="s">
        <v>319</v>
      </c>
      <c r="D51" s="2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9">
      <c r="A52" s="13" t="s">
        <v>53</v>
      </c>
      <c r="B52" t="s">
        <v>273</v>
      </c>
      <c r="C52" s="13" t="s">
        <v>319</v>
      </c>
      <c r="D52" s="2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9">
      <c r="A53" s="13" t="s">
        <v>61</v>
      </c>
      <c r="B53" t="s">
        <v>274</v>
      </c>
      <c r="C53" s="13" t="s">
        <v>319</v>
      </c>
      <c r="D53" s="2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9">
      <c r="A54" s="13" t="s">
        <v>69</v>
      </c>
      <c r="B54" t="s">
        <v>275</v>
      </c>
      <c r="C54" s="13" t="s">
        <v>319</v>
      </c>
      <c r="D54" s="2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9">
      <c r="A55" s="13" t="s">
        <v>77</v>
      </c>
      <c r="B55" t="s">
        <v>276</v>
      </c>
      <c r="C55" s="13" t="s">
        <v>319</v>
      </c>
      <c r="D55" s="2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9">
      <c r="A56" s="13" t="s">
        <v>85</v>
      </c>
      <c r="B56" t="s">
        <v>277</v>
      </c>
      <c r="C56" s="13" t="s">
        <v>319</v>
      </c>
      <c r="D56" s="2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9">
      <c r="A57" s="13" t="s">
        <v>93</v>
      </c>
      <c r="B57" t="s">
        <v>278</v>
      </c>
      <c r="C57" s="13" t="s">
        <v>319</v>
      </c>
      <c r="D57" s="2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19">
      <c r="A58" s="13" t="s">
        <v>101</v>
      </c>
      <c r="B58" t="s">
        <v>279</v>
      </c>
      <c r="C58" s="13" t="s">
        <v>319</v>
      </c>
      <c r="D58" s="2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9">
      <c r="A59" s="13" t="s">
        <v>109</v>
      </c>
      <c r="B59" t="s">
        <v>280</v>
      </c>
      <c r="C59" s="13" t="s">
        <v>319</v>
      </c>
      <c r="D59" s="2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19">
      <c r="A60" s="13" t="s">
        <v>117</v>
      </c>
      <c r="B60" t="s">
        <v>281</v>
      </c>
      <c r="C60" s="13" t="s">
        <v>319</v>
      </c>
      <c r="D60" s="2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9">
      <c r="A61" s="13" t="s">
        <v>125</v>
      </c>
      <c r="B61" t="s">
        <v>282</v>
      </c>
      <c r="C61" s="13" t="s">
        <v>319</v>
      </c>
      <c r="D61" s="2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19">
      <c r="A62" s="13" t="s">
        <v>35</v>
      </c>
      <c r="B62" t="s">
        <v>283</v>
      </c>
      <c r="C62" s="13" t="s">
        <v>319</v>
      </c>
      <c r="D62" s="2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9">
      <c r="A63" s="13" t="s">
        <v>46</v>
      </c>
      <c r="B63" t="s">
        <v>284</v>
      </c>
      <c r="C63" s="13" t="s">
        <v>319</v>
      </c>
      <c r="D63" s="2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19">
      <c r="A64" s="13" t="s">
        <v>54</v>
      </c>
      <c r="B64" t="s">
        <v>285</v>
      </c>
      <c r="C64" s="13" t="s">
        <v>319</v>
      </c>
      <c r="D64" s="2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19">
      <c r="A65" s="13" t="s">
        <v>62</v>
      </c>
      <c r="B65" t="s">
        <v>286</v>
      </c>
      <c r="C65" s="13" t="s">
        <v>319</v>
      </c>
      <c r="D65" s="2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19">
      <c r="A66" s="13" t="s">
        <v>70</v>
      </c>
      <c r="B66" t="s">
        <v>287</v>
      </c>
      <c r="C66" s="13" t="s">
        <v>319</v>
      </c>
      <c r="D66" s="2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19">
      <c r="A67" s="13" t="s">
        <v>78</v>
      </c>
      <c r="B67" t="s">
        <v>288</v>
      </c>
      <c r="C67" s="13" t="s">
        <v>319</v>
      </c>
      <c r="D67" s="2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19">
      <c r="A68" s="13" t="s">
        <v>86</v>
      </c>
      <c r="B68" t="s">
        <v>289</v>
      </c>
      <c r="C68" s="13" t="s">
        <v>319</v>
      </c>
      <c r="D68" s="2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9">
      <c r="A69" s="13" t="s">
        <v>94</v>
      </c>
      <c r="B69" t="s">
        <v>290</v>
      </c>
      <c r="C69" s="13" t="s">
        <v>319</v>
      </c>
      <c r="D69" s="2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19">
      <c r="A70" s="13" t="s">
        <v>102</v>
      </c>
      <c r="B70" t="s">
        <v>291</v>
      </c>
      <c r="C70" s="13" t="s">
        <v>319</v>
      </c>
      <c r="D70" s="2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19">
      <c r="A71" s="13" t="s">
        <v>110</v>
      </c>
      <c r="B71" t="s">
        <v>292</v>
      </c>
      <c r="C71" s="13" t="s">
        <v>319</v>
      </c>
      <c r="D71" s="2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19">
      <c r="A72" s="13" t="s">
        <v>118</v>
      </c>
      <c r="B72" t="s">
        <v>293</v>
      </c>
      <c r="C72" s="13" t="s">
        <v>319</v>
      </c>
      <c r="D72" s="2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9">
      <c r="A73" s="13" t="s">
        <v>126</v>
      </c>
      <c r="B73" t="s">
        <v>294</v>
      </c>
      <c r="C73" s="13" t="s">
        <v>319</v>
      </c>
      <c r="D73" s="2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19">
      <c r="A74" s="13" t="s">
        <v>37</v>
      </c>
      <c r="B74" t="s">
        <v>295</v>
      </c>
      <c r="C74" s="13" t="s">
        <v>319</v>
      </c>
      <c r="D74" s="2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19">
      <c r="A75" s="13" t="s">
        <v>47</v>
      </c>
      <c r="B75" t="s">
        <v>296</v>
      </c>
      <c r="C75" s="13" t="s">
        <v>319</v>
      </c>
      <c r="D75" s="2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19">
      <c r="A76" s="13" t="s">
        <v>55</v>
      </c>
      <c r="B76" t="s">
        <v>297</v>
      </c>
      <c r="C76" s="13" t="s">
        <v>319</v>
      </c>
      <c r="D76" s="2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19">
      <c r="A77" s="13" t="s">
        <v>63</v>
      </c>
      <c r="B77" t="s">
        <v>298</v>
      </c>
      <c r="C77" s="13" t="s">
        <v>319</v>
      </c>
      <c r="D77" s="2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9">
      <c r="A78" s="13" t="s">
        <v>71</v>
      </c>
      <c r="B78" t="s">
        <v>299</v>
      </c>
      <c r="C78" s="13" t="s">
        <v>319</v>
      </c>
      <c r="D78" s="2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9">
      <c r="A79" s="13" t="s">
        <v>79</v>
      </c>
      <c r="B79" t="s">
        <v>300</v>
      </c>
      <c r="C79" s="13" t="s">
        <v>319</v>
      </c>
      <c r="D79" s="2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19">
      <c r="A80" s="13" t="s">
        <v>87</v>
      </c>
      <c r="B80" t="s">
        <v>301</v>
      </c>
      <c r="C80" s="13" t="s">
        <v>319</v>
      </c>
      <c r="D80" s="2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9">
      <c r="A81" s="13" t="s">
        <v>95</v>
      </c>
      <c r="B81" t="s">
        <v>302</v>
      </c>
      <c r="C81" s="13" t="s">
        <v>319</v>
      </c>
      <c r="D81" s="2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19">
      <c r="A82" s="13" t="s">
        <v>103</v>
      </c>
      <c r="B82" t="s">
        <v>303</v>
      </c>
      <c r="C82" s="13" t="s">
        <v>319</v>
      </c>
      <c r="D82" s="2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19">
      <c r="A83" s="13" t="s">
        <v>111</v>
      </c>
      <c r="B83" t="s">
        <v>304</v>
      </c>
      <c r="C83" s="13" t="s">
        <v>319</v>
      </c>
      <c r="D83" s="2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19">
      <c r="A84" s="13" t="s">
        <v>119</v>
      </c>
      <c r="B84" t="s">
        <v>305</v>
      </c>
      <c r="C84" s="13" t="s">
        <v>319</v>
      </c>
      <c r="D84" s="2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19">
      <c r="A85" s="13" t="s">
        <v>127</v>
      </c>
      <c r="B85" t="s">
        <v>306</v>
      </c>
      <c r="C85" s="13" t="s">
        <v>319</v>
      </c>
      <c r="D85" s="2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19">
      <c r="A86" s="13" t="s">
        <v>39</v>
      </c>
      <c r="B86" t="s">
        <v>307</v>
      </c>
      <c r="C86" s="13" t="s">
        <v>319</v>
      </c>
      <c r="D86" s="2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19">
      <c r="A87" s="13" t="s">
        <v>48</v>
      </c>
      <c r="B87" t="s">
        <v>308</v>
      </c>
      <c r="C87" s="13" t="s">
        <v>319</v>
      </c>
      <c r="D87" s="2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19">
      <c r="A88" s="13" t="s">
        <v>56</v>
      </c>
      <c r="B88" t="s">
        <v>309</v>
      </c>
      <c r="C88" s="13" t="s">
        <v>319</v>
      </c>
      <c r="D88" s="2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9">
      <c r="A89" s="13" t="s">
        <v>64</v>
      </c>
      <c r="B89" t="s">
        <v>310</v>
      </c>
      <c r="C89" s="13" t="s">
        <v>319</v>
      </c>
      <c r="D89" s="2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9">
      <c r="A90" s="13" t="s">
        <v>72</v>
      </c>
      <c r="B90" t="s">
        <v>311</v>
      </c>
      <c r="C90" s="13" t="s">
        <v>319</v>
      </c>
      <c r="D90" s="2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9">
      <c r="A91" s="13" t="s">
        <v>80</v>
      </c>
      <c r="B91" t="s">
        <v>312</v>
      </c>
      <c r="C91" s="13" t="s">
        <v>319</v>
      </c>
      <c r="D91" s="2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9">
      <c r="A92" s="13" t="s">
        <v>88</v>
      </c>
      <c r="B92" t="s">
        <v>313</v>
      </c>
      <c r="C92" s="13" t="s">
        <v>319</v>
      </c>
      <c r="D92" s="2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9">
      <c r="A93" s="13" t="s">
        <v>96</v>
      </c>
      <c r="B93" t="s">
        <v>314</v>
      </c>
      <c r="C93" s="13" t="s">
        <v>319</v>
      </c>
      <c r="D93" s="2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9">
      <c r="A94" s="13" t="s">
        <v>104</v>
      </c>
      <c r="B94" t="s">
        <v>315</v>
      </c>
      <c r="C94" s="13" t="s">
        <v>319</v>
      </c>
      <c r="D94" s="2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9">
      <c r="A95" s="13" t="s">
        <v>112</v>
      </c>
      <c r="B95" t="s">
        <v>316</v>
      </c>
      <c r="C95" s="13" t="s">
        <v>319</v>
      </c>
      <c r="D95" s="2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9">
      <c r="A96" s="13" t="s">
        <v>120</v>
      </c>
      <c r="B96" t="s">
        <v>317</v>
      </c>
      <c r="C96" s="13" t="s">
        <v>319</v>
      </c>
      <c r="D96" s="2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9">
      <c r="A97" s="13" t="s">
        <v>128</v>
      </c>
      <c r="B97" t="s">
        <v>318</v>
      </c>
      <c r="C97" s="13" t="s">
        <v>319</v>
      </c>
      <c r="D97" s="2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294B-9CF6-7149-BADF-D717E9396894}">
  <dimension ref="A1:E90"/>
  <sheetViews>
    <sheetView tabSelected="1" workbookViewId="0">
      <selection activeCell="I11" sqref="I11"/>
    </sheetView>
  </sheetViews>
  <sheetFormatPr baseColWidth="10" defaultColWidth="11" defaultRowHeight="16"/>
  <cols>
    <col min="1" max="1" width="28.5" bestFit="1" customWidth="1"/>
    <col min="2" max="2" width="18.83203125" bestFit="1" customWidth="1"/>
    <col min="3" max="3" width="20.33203125" customWidth="1"/>
  </cols>
  <sheetData>
    <row r="1" spans="1:5">
      <c r="A1" t="s">
        <v>218</v>
      </c>
      <c r="B1" t="s">
        <v>219</v>
      </c>
      <c r="C1" t="s">
        <v>220</v>
      </c>
      <c r="D1" t="s">
        <v>221</v>
      </c>
      <c r="E1" t="s">
        <v>222</v>
      </c>
    </row>
    <row r="2" spans="1:5" s="43" customFormat="1" ht="17">
      <c r="A2" s="41" t="s">
        <v>363</v>
      </c>
      <c r="B2" s="45" t="s">
        <v>375</v>
      </c>
      <c r="C2" s="45" t="s">
        <v>223</v>
      </c>
      <c r="D2" s="44" t="s">
        <v>391</v>
      </c>
      <c r="E2" s="44" t="s">
        <v>392</v>
      </c>
    </row>
    <row r="3" spans="1:5" ht="17">
      <c r="A3" s="41" t="s">
        <v>364</v>
      </c>
      <c r="B3" s="45" t="s">
        <v>376</v>
      </c>
      <c r="C3" s="45" t="s">
        <v>235</v>
      </c>
      <c r="D3" s="44" t="s">
        <v>391</v>
      </c>
      <c r="E3" s="44" t="s">
        <v>392</v>
      </c>
    </row>
    <row r="4" spans="1:5" ht="17">
      <c r="A4" s="41" t="s">
        <v>365</v>
      </c>
      <c r="B4" s="45" t="s">
        <v>377</v>
      </c>
      <c r="C4" s="45" t="s">
        <v>247</v>
      </c>
      <c r="D4" s="44" t="s">
        <v>391</v>
      </c>
      <c r="E4" s="44" t="s">
        <v>392</v>
      </c>
    </row>
    <row r="5" spans="1:5" ht="17">
      <c r="A5" s="41" t="s">
        <v>366</v>
      </c>
      <c r="B5" s="45" t="s">
        <v>378</v>
      </c>
      <c r="C5" s="45" t="s">
        <v>259</v>
      </c>
      <c r="D5" s="44" t="s">
        <v>391</v>
      </c>
      <c r="E5" s="44" t="s">
        <v>392</v>
      </c>
    </row>
    <row r="6" spans="1:5" ht="17">
      <c r="A6" s="40" t="s">
        <v>367</v>
      </c>
      <c r="B6" s="45" t="s">
        <v>379</v>
      </c>
      <c r="C6" s="45" t="s">
        <v>271</v>
      </c>
      <c r="D6" s="44" t="s">
        <v>391</v>
      </c>
      <c r="E6" s="44" t="s">
        <v>392</v>
      </c>
    </row>
    <row r="7" spans="1:5" ht="17">
      <c r="A7" s="40" t="s">
        <v>368</v>
      </c>
      <c r="B7" s="45" t="s">
        <v>380</v>
      </c>
      <c r="C7" s="45" t="s">
        <v>283</v>
      </c>
      <c r="D7" s="44" t="s">
        <v>391</v>
      </c>
      <c r="E7" s="44" t="s">
        <v>392</v>
      </c>
    </row>
    <row r="8" spans="1:5" ht="17">
      <c r="A8" s="40" t="s">
        <v>369</v>
      </c>
      <c r="B8" s="45" t="s">
        <v>381</v>
      </c>
      <c r="C8" s="45" t="s">
        <v>295</v>
      </c>
      <c r="D8" s="44" t="s">
        <v>391</v>
      </c>
      <c r="E8" s="44" t="s">
        <v>392</v>
      </c>
    </row>
    <row r="9" spans="1:5" ht="17">
      <c r="A9" s="40" t="s">
        <v>370</v>
      </c>
      <c r="B9" s="45" t="s">
        <v>382</v>
      </c>
      <c r="C9" s="45" t="s">
        <v>307</v>
      </c>
      <c r="D9" s="44" t="s">
        <v>391</v>
      </c>
      <c r="E9" s="44" t="s">
        <v>392</v>
      </c>
    </row>
    <row r="10" spans="1:5" ht="17">
      <c r="A10" s="40" t="s">
        <v>323</v>
      </c>
      <c r="B10" s="45" t="s">
        <v>383</v>
      </c>
      <c r="C10" s="45" t="s">
        <v>230</v>
      </c>
      <c r="D10" s="44" t="s">
        <v>391</v>
      </c>
      <c r="E10" s="44" t="s">
        <v>392</v>
      </c>
    </row>
    <row r="11" spans="1:5" ht="17">
      <c r="A11" s="40" t="s">
        <v>324</v>
      </c>
      <c r="B11" s="45" t="s">
        <v>384</v>
      </c>
      <c r="C11" s="45" t="s">
        <v>242</v>
      </c>
      <c r="D11" s="44" t="s">
        <v>391</v>
      </c>
      <c r="E11" s="44" t="s">
        <v>392</v>
      </c>
    </row>
    <row r="12" spans="1:5" ht="17">
      <c r="A12" s="40" t="s">
        <v>325</v>
      </c>
      <c r="B12" s="45" t="s">
        <v>385</v>
      </c>
      <c r="C12" s="45" t="s">
        <v>254</v>
      </c>
      <c r="D12" s="44" t="s">
        <v>391</v>
      </c>
      <c r="E12" s="44" t="s">
        <v>392</v>
      </c>
    </row>
    <row r="13" spans="1:5" ht="17">
      <c r="A13" s="40" t="s">
        <v>326</v>
      </c>
      <c r="B13" s="45" t="s">
        <v>386</v>
      </c>
      <c r="C13" s="45" t="s">
        <v>266</v>
      </c>
      <c r="D13" s="44" t="s">
        <v>391</v>
      </c>
      <c r="E13" s="44" t="s">
        <v>392</v>
      </c>
    </row>
    <row r="14" spans="1:5" ht="17">
      <c r="A14" s="40" t="s">
        <v>327</v>
      </c>
      <c r="B14" s="45" t="s">
        <v>387</v>
      </c>
      <c r="C14" s="45" t="s">
        <v>278</v>
      </c>
      <c r="D14" s="44" t="s">
        <v>391</v>
      </c>
      <c r="E14" s="44" t="s">
        <v>392</v>
      </c>
    </row>
    <row r="15" spans="1:5" ht="17">
      <c r="A15" s="40" t="s">
        <v>328</v>
      </c>
      <c r="B15" s="45" t="s">
        <v>388</v>
      </c>
      <c r="C15" s="45" t="s">
        <v>290</v>
      </c>
      <c r="D15" s="44" t="s">
        <v>391</v>
      </c>
      <c r="E15" s="44" t="s">
        <v>392</v>
      </c>
    </row>
    <row r="16" spans="1:5" ht="17">
      <c r="A16" s="40" t="s">
        <v>329</v>
      </c>
      <c r="B16" s="45" t="s">
        <v>389</v>
      </c>
      <c r="C16" s="45" t="s">
        <v>302</v>
      </c>
      <c r="D16" s="44" t="s">
        <v>391</v>
      </c>
      <c r="E16" s="44" t="s">
        <v>392</v>
      </c>
    </row>
    <row r="17" spans="1:5" ht="17">
      <c r="A17" s="40" t="s">
        <v>330</v>
      </c>
      <c r="B17" s="45" t="s">
        <v>390</v>
      </c>
      <c r="C17" s="45" t="s">
        <v>314</v>
      </c>
      <c r="D17" s="44" t="s">
        <v>391</v>
      </c>
      <c r="E17" s="44" t="s">
        <v>392</v>
      </c>
    </row>
    <row r="18" spans="1:5" ht="17">
      <c r="A18" s="40" t="s">
        <v>331</v>
      </c>
      <c r="B18" s="45" t="s">
        <v>383</v>
      </c>
      <c r="C18" s="45" t="s">
        <v>231</v>
      </c>
      <c r="D18" s="44" t="s">
        <v>391</v>
      </c>
      <c r="E18" s="44" t="s">
        <v>392</v>
      </c>
    </row>
    <row r="19" spans="1:5" ht="17">
      <c r="A19" s="40" t="s">
        <v>332</v>
      </c>
      <c r="B19" s="45" t="s">
        <v>384</v>
      </c>
      <c r="C19" s="45" t="s">
        <v>243</v>
      </c>
      <c r="D19" s="44" t="s">
        <v>391</v>
      </c>
      <c r="E19" s="44" t="s">
        <v>392</v>
      </c>
    </row>
    <row r="20" spans="1:5" ht="17">
      <c r="A20" s="40" t="s">
        <v>333</v>
      </c>
      <c r="B20" s="45" t="s">
        <v>385</v>
      </c>
      <c r="C20" s="45" t="s">
        <v>255</v>
      </c>
      <c r="D20" s="44" t="s">
        <v>391</v>
      </c>
      <c r="E20" s="44" t="s">
        <v>392</v>
      </c>
    </row>
    <row r="21" spans="1:5" ht="17">
      <c r="A21" s="40" t="s">
        <v>334</v>
      </c>
      <c r="B21" s="45" t="s">
        <v>386</v>
      </c>
      <c r="C21" s="45" t="s">
        <v>267</v>
      </c>
      <c r="D21" s="44" t="s">
        <v>391</v>
      </c>
      <c r="E21" s="44" t="s">
        <v>392</v>
      </c>
    </row>
    <row r="22" spans="1:5" ht="17">
      <c r="A22" s="40" t="s">
        <v>335</v>
      </c>
      <c r="B22" s="45" t="s">
        <v>387</v>
      </c>
      <c r="C22" s="45" t="s">
        <v>279</v>
      </c>
      <c r="D22" s="44" t="s">
        <v>391</v>
      </c>
      <c r="E22" s="44" t="s">
        <v>392</v>
      </c>
    </row>
    <row r="23" spans="1:5" ht="17">
      <c r="A23" s="40" t="s">
        <v>336</v>
      </c>
      <c r="B23" s="45" t="s">
        <v>388</v>
      </c>
      <c r="C23" s="45" t="s">
        <v>291</v>
      </c>
      <c r="D23" s="44" t="s">
        <v>391</v>
      </c>
      <c r="E23" s="44" t="s">
        <v>392</v>
      </c>
    </row>
    <row r="24" spans="1:5" ht="17">
      <c r="A24" s="40" t="s">
        <v>337</v>
      </c>
      <c r="B24" s="45" t="s">
        <v>389</v>
      </c>
      <c r="C24" s="45" t="s">
        <v>303</v>
      </c>
      <c r="D24" s="44" t="s">
        <v>391</v>
      </c>
      <c r="E24" s="44" t="s">
        <v>392</v>
      </c>
    </row>
    <row r="25" spans="1:5" ht="17">
      <c r="A25" s="40" t="s">
        <v>338</v>
      </c>
      <c r="B25" s="45" t="s">
        <v>390</v>
      </c>
      <c r="C25" s="45" t="s">
        <v>315</v>
      </c>
      <c r="D25" s="44" t="s">
        <v>391</v>
      </c>
      <c r="E25" s="44" t="s">
        <v>392</v>
      </c>
    </row>
    <row r="26" spans="1:5" ht="17">
      <c r="A26" s="40" t="s">
        <v>339</v>
      </c>
      <c r="B26" s="45" t="s">
        <v>383</v>
      </c>
      <c r="C26" s="45" t="s">
        <v>232</v>
      </c>
      <c r="D26" s="44" t="s">
        <v>391</v>
      </c>
      <c r="E26" s="44" t="s">
        <v>392</v>
      </c>
    </row>
    <row r="27" spans="1:5" ht="17">
      <c r="A27" s="40" t="s">
        <v>340</v>
      </c>
      <c r="B27" s="45" t="s">
        <v>384</v>
      </c>
      <c r="C27" s="45" t="s">
        <v>244</v>
      </c>
      <c r="D27" s="44" t="s">
        <v>391</v>
      </c>
      <c r="E27" s="44" t="s">
        <v>392</v>
      </c>
    </row>
    <row r="28" spans="1:5" ht="17">
      <c r="A28" s="40" t="s">
        <v>341</v>
      </c>
      <c r="B28" s="45" t="s">
        <v>385</v>
      </c>
      <c r="C28" s="45" t="s">
        <v>256</v>
      </c>
      <c r="D28" s="44" t="s">
        <v>391</v>
      </c>
      <c r="E28" s="44" t="s">
        <v>392</v>
      </c>
    </row>
    <row r="29" spans="1:5" ht="17">
      <c r="A29" s="40" t="s">
        <v>342</v>
      </c>
      <c r="B29" s="45" t="s">
        <v>386</v>
      </c>
      <c r="C29" s="45" t="s">
        <v>268</v>
      </c>
      <c r="D29" s="44" t="s">
        <v>391</v>
      </c>
      <c r="E29" s="44" t="s">
        <v>392</v>
      </c>
    </row>
    <row r="30" spans="1:5" ht="17">
      <c r="A30" s="40" t="s">
        <v>343</v>
      </c>
      <c r="B30" s="45" t="s">
        <v>387</v>
      </c>
      <c r="C30" s="45" t="s">
        <v>280</v>
      </c>
      <c r="D30" s="44" t="s">
        <v>391</v>
      </c>
      <c r="E30" s="44" t="s">
        <v>392</v>
      </c>
    </row>
    <row r="31" spans="1:5" ht="17">
      <c r="A31" s="40" t="s">
        <v>344</v>
      </c>
      <c r="B31" s="45" t="s">
        <v>388</v>
      </c>
      <c r="C31" s="45" t="s">
        <v>292</v>
      </c>
      <c r="D31" s="44" t="s">
        <v>391</v>
      </c>
      <c r="E31" s="44" t="s">
        <v>392</v>
      </c>
    </row>
    <row r="32" spans="1:5" ht="17">
      <c r="A32" s="40" t="s">
        <v>345</v>
      </c>
      <c r="B32" s="45" t="s">
        <v>389</v>
      </c>
      <c r="C32" s="45" t="s">
        <v>304</v>
      </c>
      <c r="D32" s="44" t="s">
        <v>391</v>
      </c>
      <c r="E32" s="44" t="s">
        <v>392</v>
      </c>
    </row>
    <row r="33" spans="1:5" ht="17">
      <c r="A33" s="40" t="s">
        <v>346</v>
      </c>
      <c r="B33" s="45" t="s">
        <v>390</v>
      </c>
      <c r="C33" s="45" t="s">
        <v>316</v>
      </c>
      <c r="D33" s="44" t="s">
        <v>391</v>
      </c>
      <c r="E33" s="44" t="s">
        <v>392</v>
      </c>
    </row>
    <row r="34" spans="1:5" ht="17">
      <c r="A34" s="40" t="s">
        <v>347</v>
      </c>
      <c r="B34" s="45" t="s">
        <v>375</v>
      </c>
      <c r="C34" s="45" t="s">
        <v>233</v>
      </c>
      <c r="D34" s="44" t="s">
        <v>391</v>
      </c>
      <c r="E34" s="44" t="s">
        <v>392</v>
      </c>
    </row>
    <row r="35" spans="1:5" ht="17">
      <c r="A35" s="40" t="s">
        <v>348</v>
      </c>
      <c r="B35" s="45" t="s">
        <v>376</v>
      </c>
      <c r="C35" s="45" t="s">
        <v>245</v>
      </c>
      <c r="D35" s="44" t="s">
        <v>391</v>
      </c>
      <c r="E35" s="44" t="s">
        <v>392</v>
      </c>
    </row>
    <row r="36" spans="1:5" ht="17">
      <c r="A36" s="40" t="s">
        <v>349</v>
      </c>
      <c r="B36" s="45" t="s">
        <v>377</v>
      </c>
      <c r="C36" s="45" t="s">
        <v>257</v>
      </c>
      <c r="D36" s="44" t="s">
        <v>391</v>
      </c>
      <c r="E36" s="44" t="s">
        <v>392</v>
      </c>
    </row>
    <row r="37" spans="1:5" ht="17">
      <c r="A37" s="40" t="s">
        <v>350</v>
      </c>
      <c r="B37" s="45" t="s">
        <v>378</v>
      </c>
      <c r="C37" s="45" t="s">
        <v>269</v>
      </c>
      <c r="D37" s="44" t="s">
        <v>391</v>
      </c>
      <c r="E37" s="44" t="s">
        <v>392</v>
      </c>
    </row>
    <row r="38" spans="1:5" ht="17">
      <c r="A38" s="40" t="s">
        <v>351</v>
      </c>
      <c r="B38" s="45" t="s">
        <v>379</v>
      </c>
      <c r="C38" s="45" t="s">
        <v>281</v>
      </c>
      <c r="D38" s="44" t="s">
        <v>391</v>
      </c>
      <c r="E38" s="44" t="s">
        <v>392</v>
      </c>
    </row>
    <row r="39" spans="1:5" ht="17">
      <c r="A39" s="40" t="s">
        <v>352</v>
      </c>
      <c r="B39" s="45" t="s">
        <v>380</v>
      </c>
      <c r="C39" s="45" t="s">
        <v>293</v>
      </c>
      <c r="D39" s="44" t="s">
        <v>391</v>
      </c>
      <c r="E39" s="44" t="s">
        <v>392</v>
      </c>
    </row>
    <row r="40" spans="1:5" ht="17">
      <c r="A40" s="40" t="s">
        <v>353</v>
      </c>
      <c r="B40" s="45" t="s">
        <v>381</v>
      </c>
      <c r="C40" s="45" t="s">
        <v>305</v>
      </c>
      <c r="D40" s="44" t="s">
        <v>391</v>
      </c>
      <c r="E40" s="44" t="s">
        <v>392</v>
      </c>
    </row>
    <row r="41" spans="1:5" ht="17">
      <c r="A41" s="40" t="s">
        <v>354</v>
      </c>
      <c r="B41" s="45" t="s">
        <v>382</v>
      </c>
      <c r="C41" s="45" t="s">
        <v>317</v>
      </c>
      <c r="D41" s="44" t="s">
        <v>391</v>
      </c>
      <c r="E41" s="44" t="s">
        <v>392</v>
      </c>
    </row>
    <row r="42" spans="1:5" ht="17">
      <c r="A42" s="40" t="s">
        <v>355</v>
      </c>
      <c r="B42" s="45" t="s">
        <v>375</v>
      </c>
      <c r="C42" s="45" t="s">
        <v>234</v>
      </c>
      <c r="D42" s="44" t="s">
        <v>391</v>
      </c>
      <c r="E42" s="44" t="s">
        <v>392</v>
      </c>
    </row>
    <row r="43" spans="1:5" ht="17">
      <c r="A43" s="40" t="s">
        <v>356</v>
      </c>
      <c r="B43" s="45" t="s">
        <v>376</v>
      </c>
      <c r="C43" s="45" t="s">
        <v>246</v>
      </c>
      <c r="D43" s="44" t="s">
        <v>391</v>
      </c>
      <c r="E43" s="44" t="s">
        <v>392</v>
      </c>
    </row>
    <row r="44" spans="1:5" ht="17">
      <c r="A44" s="40" t="s">
        <v>357</v>
      </c>
      <c r="B44" s="45" t="s">
        <v>377</v>
      </c>
      <c r="C44" s="45" t="s">
        <v>258</v>
      </c>
      <c r="D44" s="44" t="s">
        <v>391</v>
      </c>
      <c r="E44" s="44" t="s">
        <v>392</v>
      </c>
    </row>
    <row r="45" spans="1:5" ht="17">
      <c r="A45" s="40" t="s">
        <v>358</v>
      </c>
      <c r="B45" s="45" t="s">
        <v>378</v>
      </c>
      <c r="C45" s="45" t="s">
        <v>270</v>
      </c>
      <c r="D45" s="44" t="s">
        <v>391</v>
      </c>
      <c r="E45" s="44" t="s">
        <v>392</v>
      </c>
    </row>
    <row r="46" spans="1:5" ht="17">
      <c r="A46" s="40" t="s">
        <v>359</v>
      </c>
      <c r="B46" s="45" t="s">
        <v>379</v>
      </c>
      <c r="C46" s="45" t="s">
        <v>282</v>
      </c>
      <c r="D46" s="44" t="s">
        <v>391</v>
      </c>
      <c r="E46" s="44" t="s">
        <v>392</v>
      </c>
    </row>
    <row r="47" spans="1:5" ht="17">
      <c r="A47" s="40" t="s">
        <v>360</v>
      </c>
      <c r="B47" s="45" t="s">
        <v>380</v>
      </c>
      <c r="C47" s="45" t="s">
        <v>294</v>
      </c>
      <c r="D47" s="44" t="s">
        <v>391</v>
      </c>
      <c r="E47" s="44" t="s">
        <v>392</v>
      </c>
    </row>
    <row r="48" spans="1:5" ht="17">
      <c r="A48" s="40" t="s">
        <v>361</v>
      </c>
      <c r="B48" s="45" t="s">
        <v>381</v>
      </c>
      <c r="C48" s="45" t="s">
        <v>306</v>
      </c>
      <c r="D48" s="44" t="s">
        <v>391</v>
      </c>
      <c r="E48" s="44" t="s">
        <v>392</v>
      </c>
    </row>
    <row r="49" spans="1:5" ht="17">
      <c r="A49" s="40" t="s">
        <v>362</v>
      </c>
      <c r="B49" s="45" t="s">
        <v>382</v>
      </c>
      <c r="C49" s="45" t="s">
        <v>318</v>
      </c>
      <c r="D49" s="44" t="s">
        <v>391</v>
      </c>
      <c r="E49" s="44" t="s">
        <v>392</v>
      </c>
    </row>
    <row r="50" spans="1:5" ht="19">
      <c r="A50" s="40"/>
      <c r="B50" s="45"/>
      <c r="C50" s="13"/>
      <c r="D50" s="44"/>
      <c r="E50" s="44"/>
    </row>
    <row r="51" spans="1:5" ht="19">
      <c r="A51" s="40"/>
      <c r="B51" s="45"/>
      <c r="C51" s="13"/>
      <c r="D51" s="44"/>
      <c r="E51" s="44"/>
    </row>
    <row r="52" spans="1:5" ht="19">
      <c r="A52" s="40"/>
      <c r="B52" s="45"/>
      <c r="C52" s="13"/>
      <c r="D52" s="44"/>
      <c r="E52" s="44"/>
    </row>
    <row r="53" spans="1:5" ht="19">
      <c r="A53" s="40"/>
      <c r="B53" s="45"/>
      <c r="C53" s="13"/>
      <c r="D53" s="44"/>
      <c r="E53" s="44"/>
    </row>
    <row r="54" spans="1:5" ht="19">
      <c r="A54" s="40"/>
      <c r="B54" s="45"/>
      <c r="C54" s="13"/>
      <c r="D54" s="44"/>
      <c r="E54" s="44"/>
    </row>
    <row r="55" spans="1:5" ht="19">
      <c r="A55" s="40"/>
      <c r="B55" s="45"/>
      <c r="C55" s="13"/>
      <c r="D55" s="44"/>
      <c r="E55" s="44"/>
    </row>
    <row r="56" spans="1:5" ht="19">
      <c r="A56" s="40"/>
      <c r="B56" s="45"/>
      <c r="C56" s="13"/>
      <c r="D56" s="44"/>
      <c r="E56" s="44"/>
    </row>
    <row r="57" spans="1:5" ht="19">
      <c r="A57" s="40"/>
      <c r="B57" s="45"/>
      <c r="C57" s="13"/>
      <c r="D57" s="44"/>
      <c r="E57" s="44"/>
    </row>
    <row r="58" spans="1:5" ht="19">
      <c r="A58" s="40"/>
      <c r="B58" s="45"/>
      <c r="C58" s="13"/>
      <c r="D58" s="44"/>
      <c r="E58" s="44"/>
    </row>
    <row r="59" spans="1:5" ht="19">
      <c r="A59" s="40"/>
      <c r="B59" s="45"/>
      <c r="C59" s="13"/>
      <c r="D59" s="44"/>
      <c r="E59" s="44"/>
    </row>
    <row r="60" spans="1:5" ht="19">
      <c r="A60" s="40"/>
      <c r="B60" s="45"/>
      <c r="C60" s="13"/>
      <c r="D60" s="44"/>
      <c r="E60" s="44"/>
    </row>
    <row r="61" spans="1:5" ht="19">
      <c r="A61" s="40"/>
      <c r="B61" s="45"/>
      <c r="C61" s="13"/>
      <c r="D61" s="44"/>
      <c r="E61" s="44"/>
    </row>
    <row r="62" spans="1:5" ht="19">
      <c r="A62" s="40"/>
      <c r="B62" s="45"/>
      <c r="C62" s="13"/>
      <c r="D62" s="44"/>
      <c r="E62" s="44"/>
    </row>
    <row r="63" spans="1:5" ht="19">
      <c r="A63" s="40"/>
      <c r="B63" s="45"/>
      <c r="C63" s="13"/>
      <c r="D63" s="44"/>
      <c r="E63" s="44"/>
    </row>
    <row r="64" spans="1:5" ht="19">
      <c r="A64" s="40"/>
      <c r="B64" s="45"/>
      <c r="C64" s="13"/>
      <c r="D64" s="44"/>
      <c r="E64" s="44"/>
    </row>
    <row r="65" spans="1:5" ht="19">
      <c r="A65" s="40"/>
      <c r="B65" s="45"/>
      <c r="C65" s="13"/>
      <c r="D65" s="44"/>
      <c r="E65" s="44"/>
    </row>
    <row r="66" spans="1:5" ht="19">
      <c r="A66" s="40"/>
      <c r="B66" s="45"/>
      <c r="C66" s="13"/>
      <c r="D66" s="44"/>
      <c r="E66" s="44"/>
    </row>
    <row r="67" spans="1:5" ht="19">
      <c r="A67" s="40"/>
      <c r="B67" s="45"/>
      <c r="C67" s="13"/>
      <c r="D67" s="44"/>
      <c r="E67" s="44"/>
    </row>
    <row r="68" spans="1:5" ht="19">
      <c r="A68" s="40"/>
      <c r="B68" s="45"/>
      <c r="C68" s="13"/>
      <c r="D68" s="44"/>
      <c r="E68" s="44"/>
    </row>
    <row r="69" spans="1:5" ht="19">
      <c r="A69" s="40"/>
      <c r="B69" s="45"/>
      <c r="C69" s="13"/>
      <c r="D69" s="44"/>
      <c r="E69" s="44"/>
    </row>
    <row r="70" spans="1:5" ht="19">
      <c r="A70" s="40"/>
      <c r="B70" s="45"/>
      <c r="C70" s="13"/>
      <c r="D70" s="44"/>
      <c r="E70" s="44"/>
    </row>
    <row r="71" spans="1:5" ht="19">
      <c r="A71" s="40"/>
      <c r="B71" s="45"/>
      <c r="C71" s="13"/>
      <c r="D71" s="44"/>
      <c r="E71" s="44"/>
    </row>
    <row r="72" spans="1:5" ht="19">
      <c r="A72" s="40"/>
      <c r="B72" s="45"/>
      <c r="C72" s="13"/>
      <c r="D72" s="44"/>
      <c r="E72" s="44"/>
    </row>
    <row r="73" spans="1:5" ht="19">
      <c r="A73" s="40"/>
      <c r="B73" s="45"/>
      <c r="C73" s="13"/>
      <c r="D73" s="44"/>
      <c r="E73" s="44"/>
    </row>
    <row r="74" spans="1:5" ht="19">
      <c r="A74" s="40"/>
      <c r="B74" s="45"/>
      <c r="C74" s="13"/>
      <c r="D74" s="44"/>
      <c r="E74" s="44"/>
    </row>
    <row r="75" spans="1:5" ht="19">
      <c r="A75" s="40"/>
      <c r="B75" s="45"/>
      <c r="C75" s="13"/>
      <c r="D75" s="44"/>
      <c r="E75" s="44"/>
    </row>
    <row r="76" spans="1:5" ht="19">
      <c r="A76" s="40"/>
      <c r="B76" s="45"/>
      <c r="C76" s="13"/>
      <c r="D76" s="44"/>
      <c r="E76" s="44"/>
    </row>
    <row r="77" spans="1:5" ht="19">
      <c r="A77" s="40"/>
      <c r="B77" s="45"/>
      <c r="C77" s="13"/>
      <c r="D77" s="44"/>
      <c r="E77" s="44"/>
    </row>
    <row r="78" spans="1:5" ht="19">
      <c r="A78" s="40"/>
      <c r="B78" s="45"/>
      <c r="C78" s="13"/>
      <c r="D78" s="44"/>
      <c r="E78" s="44"/>
    </row>
    <row r="79" spans="1:5" ht="19">
      <c r="A79" s="40"/>
      <c r="B79" s="45"/>
      <c r="C79" s="13"/>
      <c r="D79" s="44"/>
      <c r="E79" s="44"/>
    </row>
    <row r="80" spans="1:5" ht="19">
      <c r="A80" s="40"/>
      <c r="B80" s="45"/>
      <c r="C80" s="13"/>
      <c r="D80" s="44"/>
      <c r="E80" s="44"/>
    </row>
    <row r="81" spans="1:5" ht="19">
      <c r="A81" s="40"/>
      <c r="B81" s="45"/>
      <c r="C81" s="13"/>
      <c r="D81" s="44"/>
      <c r="E81" s="44"/>
    </row>
    <row r="82" spans="1:5" ht="19">
      <c r="A82" s="40"/>
      <c r="B82" s="45"/>
      <c r="C82" s="13"/>
      <c r="D82" s="44"/>
      <c r="E82" s="44"/>
    </row>
    <row r="83" spans="1:5" ht="19">
      <c r="A83" s="40"/>
      <c r="B83" s="45"/>
      <c r="C83" s="13"/>
      <c r="D83" s="44"/>
      <c r="E83" s="44"/>
    </row>
    <row r="84" spans="1:5" ht="19">
      <c r="A84" s="40"/>
      <c r="B84" s="45"/>
      <c r="C84" s="13"/>
      <c r="D84" s="44"/>
      <c r="E84" s="44"/>
    </row>
    <row r="85" spans="1:5" ht="19">
      <c r="A85" s="40"/>
      <c r="B85" s="45"/>
      <c r="C85" s="13"/>
      <c r="D85" s="44"/>
      <c r="E85" s="44"/>
    </row>
    <row r="86" spans="1:5" ht="19">
      <c r="A86" s="40"/>
      <c r="B86" s="45"/>
      <c r="C86" s="13"/>
      <c r="D86" s="44"/>
      <c r="E86" s="44"/>
    </row>
    <row r="87" spans="1:5" ht="19">
      <c r="A87" s="40"/>
      <c r="B87" s="45"/>
      <c r="C87" s="13"/>
      <c r="D87" s="44"/>
      <c r="E87" s="44"/>
    </row>
    <row r="88" spans="1:5" ht="19">
      <c r="A88" s="40"/>
      <c r="B88" s="45"/>
      <c r="C88" s="13"/>
      <c r="D88" s="44"/>
      <c r="E88" s="44"/>
    </row>
    <row r="89" spans="1:5" ht="19">
      <c r="A89" s="40"/>
      <c r="B89" s="45"/>
      <c r="C89" s="13"/>
      <c r="D89" s="44"/>
      <c r="E89" s="44"/>
    </row>
    <row r="90" spans="1:5" ht="19">
      <c r="A90" s="40"/>
      <c r="B90" s="45"/>
      <c r="C90" s="13"/>
      <c r="D90" s="44"/>
      <c r="E90" s="4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Reverse Transcription</vt:lpstr>
      <vt:lpstr>Pooling, Cleanup &amp; SSS</vt:lpstr>
      <vt:lpstr>Tagmentation</vt:lpstr>
      <vt:lpstr>Alithea Barcodes</vt:lpstr>
      <vt:lpstr>Mapping_File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Zhuravel</dc:creator>
  <cp:keywords/>
  <dc:description/>
  <cp:lastModifiedBy>Olszowy, Bart</cp:lastModifiedBy>
  <cp:revision/>
  <dcterms:created xsi:type="dcterms:W3CDTF">2023-10-12T18:25:00Z</dcterms:created>
  <dcterms:modified xsi:type="dcterms:W3CDTF">2025-10-17T16:43:21Z</dcterms:modified>
  <cp:category/>
  <cp:contentStatus/>
</cp:coreProperties>
</file>