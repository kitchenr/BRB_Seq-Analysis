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t/Desktop/Muegge_Lab/projects/JL_008_EPZ/"/>
    </mc:Choice>
  </mc:AlternateContent>
  <xr:revisionPtr revIDLastSave="0" documentId="13_ncr:1_{0F039DF7-F1A7-4D4C-A682-A46597603217}" xr6:coauthVersionLast="47" xr6:coauthVersionMax="47" xr10:uidLastSave="{00000000-0000-0000-0000-000000000000}"/>
  <bookViews>
    <workbookView xWindow="0" yWindow="760" windowWidth="34560" windowHeight="20200" xr2:uid="{E012280D-D1FB-D041-A3D1-1BC5D6D6ABA1}"/>
  </bookViews>
  <sheets>
    <sheet name="EG06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C111" i="1"/>
  <c r="M17" i="1" s="1"/>
  <c r="M50" i="1" l="1"/>
  <c r="M26" i="1"/>
  <c r="M18" i="1"/>
  <c r="M65" i="1"/>
  <c r="M57" i="1"/>
  <c r="M49" i="1"/>
  <c r="M41" i="1"/>
  <c r="M33" i="1"/>
  <c r="M25" i="1"/>
  <c r="M64" i="1"/>
  <c r="M56" i="1"/>
  <c r="M48" i="1"/>
  <c r="M40" i="1"/>
  <c r="M32" i="1"/>
  <c r="M24" i="1"/>
  <c r="M16" i="1"/>
  <c r="M58" i="1"/>
  <c r="M55" i="1"/>
  <c r="M31" i="1"/>
  <c r="M23" i="1"/>
  <c r="M15" i="1"/>
  <c r="M22" i="1"/>
  <c r="M14" i="1"/>
  <c r="M9" i="1"/>
  <c r="M42" i="1"/>
  <c r="M63" i="1"/>
  <c r="M47" i="1"/>
  <c r="M62" i="1"/>
  <c r="M46" i="1"/>
  <c r="M30" i="1"/>
  <c r="M61" i="1"/>
  <c r="M53" i="1"/>
  <c r="M45" i="1"/>
  <c r="M37" i="1"/>
  <c r="M29" i="1"/>
  <c r="M21" i="1"/>
  <c r="M13" i="1"/>
  <c r="M34" i="1"/>
  <c r="M39" i="1"/>
  <c r="M54" i="1"/>
  <c r="M38" i="1"/>
  <c r="M60" i="1"/>
  <c r="M52" i="1"/>
  <c r="M44" i="1"/>
  <c r="M36" i="1"/>
  <c r="M28" i="1"/>
  <c r="M20" i="1"/>
  <c r="M12" i="1"/>
  <c r="M59" i="1"/>
  <c r="M51" i="1"/>
  <c r="M43" i="1"/>
  <c r="M35" i="1"/>
  <c r="M27" i="1"/>
  <c r="M19" i="1"/>
  <c r="M11" i="1"/>
  <c r="M10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K100" i="1"/>
  <c r="K101" i="1"/>
  <c r="K102" i="1"/>
  <c r="K103" i="1"/>
  <c r="K104" i="1"/>
  <c r="G112" i="1" l="1"/>
  <c r="G111" i="1"/>
  <c r="G110" i="1"/>
  <c r="G109" i="1"/>
  <c r="C112" i="1"/>
  <c r="C110" i="1"/>
  <c r="C109" i="1"/>
  <c r="C108" i="1"/>
  <c r="I66" i="1"/>
  <c r="K66" i="1" s="1"/>
  <c r="I67" i="1"/>
  <c r="K67" i="1" s="1"/>
  <c r="I68" i="1"/>
  <c r="K68" i="1" s="1"/>
  <c r="I76" i="1"/>
  <c r="K76" i="1" s="1"/>
  <c r="I77" i="1"/>
  <c r="K77" i="1" s="1"/>
  <c r="I78" i="1"/>
  <c r="K78" i="1" s="1"/>
  <c r="I79" i="1"/>
  <c r="K79" i="1" s="1"/>
  <c r="I80" i="1"/>
  <c r="K80" i="1" s="1"/>
  <c r="I88" i="1"/>
  <c r="K88" i="1" s="1"/>
  <c r="I89" i="1"/>
  <c r="K89" i="1" s="1"/>
  <c r="I90" i="1"/>
  <c r="K90" i="1" s="1"/>
  <c r="I91" i="1"/>
  <c r="K91" i="1" s="1"/>
  <c r="I92" i="1"/>
  <c r="K92" i="1" s="1"/>
  <c r="I100" i="1"/>
  <c r="I101" i="1"/>
  <c r="I102" i="1"/>
  <c r="I103" i="1"/>
  <c r="I104" i="1"/>
  <c r="G108" i="1"/>
  <c r="G107" i="1"/>
  <c r="C107" i="1"/>
  <c r="I118" i="1"/>
  <c r="I10" i="1" l="1"/>
  <c r="K10" i="1" s="1"/>
  <c r="I15" i="1"/>
  <c r="K15" i="1" s="1"/>
  <c r="I82" i="1"/>
  <c r="K82" i="1" s="1"/>
  <c r="I81" i="1"/>
  <c r="K81" i="1" s="1"/>
  <c r="I73" i="1"/>
  <c r="K73" i="1" s="1"/>
  <c r="I83" i="1"/>
  <c r="K83" i="1" s="1"/>
  <c r="I98" i="1"/>
  <c r="K98" i="1" s="1"/>
  <c r="I74" i="1"/>
  <c r="K74" i="1" s="1"/>
  <c r="I97" i="1"/>
  <c r="K97" i="1" s="1"/>
  <c r="I96" i="1"/>
  <c r="K96" i="1" s="1"/>
  <c r="I72" i="1"/>
  <c r="K72" i="1" s="1"/>
  <c r="I99" i="1"/>
  <c r="K99" i="1" s="1"/>
  <c r="I75" i="1"/>
  <c r="K75" i="1" s="1"/>
  <c r="I69" i="1"/>
  <c r="K69" i="1" s="1"/>
  <c r="I95" i="1"/>
  <c r="K95" i="1" s="1"/>
  <c r="I87" i="1"/>
  <c r="K87" i="1" s="1"/>
  <c r="I71" i="1"/>
  <c r="K71" i="1" s="1"/>
  <c r="I86" i="1"/>
  <c r="K86" i="1" s="1"/>
  <c r="I94" i="1"/>
  <c r="K94" i="1" s="1"/>
  <c r="I93" i="1"/>
  <c r="K93" i="1" s="1"/>
  <c r="I85" i="1"/>
  <c r="K85" i="1" s="1"/>
  <c r="I84" i="1"/>
  <c r="K84" i="1" s="1"/>
  <c r="K9" i="1"/>
  <c r="I44" i="1"/>
  <c r="K44" i="1" s="1"/>
  <c r="I65" i="1"/>
  <c r="K65" i="1" s="1"/>
  <c r="I43" i="1"/>
  <c r="K43" i="1" s="1"/>
  <c r="I61" i="1"/>
  <c r="K61" i="1" s="1"/>
  <c r="I41" i="1"/>
  <c r="K41" i="1" s="1"/>
  <c r="I57" i="1"/>
  <c r="K57" i="1" s="1"/>
  <c r="I35" i="1"/>
  <c r="K35" i="1" s="1"/>
  <c r="I34" i="1"/>
  <c r="K34" i="1" s="1"/>
  <c r="I53" i="1"/>
  <c r="K53" i="1" s="1"/>
  <c r="I33" i="1"/>
  <c r="K33" i="1" s="1"/>
  <c r="I56" i="1"/>
  <c r="K56" i="1" s="1"/>
  <c r="I51" i="1"/>
  <c r="K51" i="1" s="1"/>
  <c r="I28" i="1"/>
  <c r="K28" i="1" s="1"/>
  <c r="I45" i="1"/>
  <c r="K45" i="1" s="1"/>
  <c r="I24" i="1"/>
  <c r="K24" i="1" s="1"/>
  <c r="I64" i="1"/>
  <c r="K64" i="1" s="1"/>
  <c r="I52" i="1"/>
  <c r="K52" i="1" s="1"/>
  <c r="I42" i="1"/>
  <c r="K42" i="1" s="1"/>
  <c r="I29" i="1"/>
  <c r="K29" i="1" s="1"/>
  <c r="I60" i="1"/>
  <c r="K60" i="1" s="1"/>
  <c r="I50" i="1"/>
  <c r="K50" i="1" s="1"/>
  <c r="I40" i="1"/>
  <c r="K40" i="1" s="1"/>
  <c r="I27" i="1"/>
  <c r="K27" i="1" s="1"/>
  <c r="I59" i="1"/>
  <c r="K59" i="1" s="1"/>
  <c r="I49" i="1"/>
  <c r="K49" i="1" s="1"/>
  <c r="I37" i="1"/>
  <c r="K37" i="1" s="1"/>
  <c r="I26" i="1"/>
  <c r="K26" i="1" s="1"/>
  <c r="I58" i="1"/>
  <c r="K58" i="1" s="1"/>
  <c r="I48" i="1"/>
  <c r="K48" i="1" s="1"/>
  <c r="I36" i="1"/>
  <c r="K36" i="1" s="1"/>
  <c r="I25" i="1"/>
  <c r="K25" i="1" s="1"/>
  <c r="I20" i="1"/>
  <c r="K20" i="1" s="1"/>
  <c r="I32" i="1"/>
  <c r="K32" i="1" s="1"/>
  <c r="I19" i="1"/>
  <c r="K19" i="1" s="1"/>
  <c r="I18" i="1"/>
  <c r="K18" i="1" s="1"/>
  <c r="I21" i="1"/>
  <c r="K21" i="1" s="1"/>
  <c r="I16" i="1"/>
  <c r="K16" i="1" s="1"/>
  <c r="I63" i="1"/>
  <c r="K63" i="1" s="1"/>
  <c r="I55" i="1"/>
  <c r="K55" i="1" s="1"/>
  <c r="I47" i="1"/>
  <c r="K47" i="1" s="1"/>
  <c r="I39" i="1"/>
  <c r="K39" i="1" s="1"/>
  <c r="I31" i="1"/>
  <c r="K31" i="1" s="1"/>
  <c r="I23" i="1"/>
  <c r="K23" i="1" s="1"/>
  <c r="I13" i="1"/>
  <c r="K13" i="1" s="1"/>
  <c r="I70" i="1"/>
  <c r="K70" i="1" s="1"/>
  <c r="I62" i="1"/>
  <c r="K62" i="1" s="1"/>
  <c r="I54" i="1"/>
  <c r="K54" i="1" s="1"/>
  <c r="I46" i="1"/>
  <c r="K46" i="1" s="1"/>
  <c r="I38" i="1"/>
  <c r="K38" i="1" s="1"/>
  <c r="I30" i="1"/>
  <c r="K30" i="1" s="1"/>
  <c r="I22" i="1"/>
  <c r="K22" i="1" s="1"/>
  <c r="I12" i="1"/>
  <c r="K12" i="1" s="1"/>
  <c r="I14" i="1"/>
  <c r="K14" i="1" s="1"/>
  <c r="I11" i="1"/>
  <c r="K11" i="1" s="1"/>
  <c r="I17" i="1"/>
  <c r="K17" i="1" s="1"/>
  <c r="I125" i="1"/>
  <c r="G113" i="1"/>
  <c r="C113" i="1"/>
  <c r="I107" i="1" l="1"/>
  <c r="I122" i="1" s="1"/>
  <c r="I114" i="1"/>
  <c r="I110" i="1"/>
  <c r="I111" i="1"/>
  <c r="I109" i="1"/>
  <c r="I112" i="1"/>
  <c r="I108" i="1"/>
  <c r="I113" i="1" l="1"/>
  <c r="I119" i="1"/>
  <c r="I123" i="1"/>
  <c r="I124" i="1" s="1"/>
  <c r="K114" i="1" l="1"/>
  <c r="K112" i="1"/>
  <c r="K111" i="1"/>
  <c r="K110" i="1"/>
  <c r="K109" i="1"/>
  <c r="K108" i="1"/>
  <c r="K107" i="1"/>
  <c r="K113" i="1" l="1"/>
</calcChain>
</file>

<file path=xl/sharedStrings.xml><?xml version="1.0" encoding="utf-8"?>
<sst xmlns="http://schemas.openxmlformats.org/spreadsheetml/2006/main" count="152" uniqueCount="97">
  <si>
    <t>Sample Name</t>
  </si>
  <si>
    <t>Count</t>
  </si>
  <si>
    <t xml:space="preserve">Standard Deviation </t>
  </si>
  <si>
    <t>Repooling Amount
(uL)</t>
  </si>
  <si>
    <t>Cost Per Sample</t>
  </si>
  <si>
    <t>SampleNumber</t>
  </si>
  <si>
    <t>Mean Raw Reads (Thousands)</t>
  </si>
  <si>
    <t>Min Raw Reads (Thousands)</t>
  </si>
  <si>
    <t>Max Raw Reads (Thousands)</t>
  </si>
  <si>
    <t>Fold Change, Max / Min</t>
  </si>
  <si>
    <t>Total Raw Reads (Thousands)</t>
  </si>
  <si>
    <t>Total Assigned Reads (Thousands)</t>
  </si>
  <si>
    <t>Projected Raw Reads (Millions)</t>
  </si>
  <si>
    <t>Total Projected Reads (Millions)</t>
  </si>
  <si>
    <t>Mean Projected Reads (Millions)</t>
  </si>
  <si>
    <t>Min Projected Reads (Millions)</t>
  </si>
  <si>
    <t>Max Projected Reads (Millions)</t>
  </si>
  <si>
    <t>Predicted Assigned counts (Green = &gt; 4 million)</t>
  </si>
  <si>
    <t>Mean Projected Assigned Features (Millions)</t>
  </si>
  <si>
    <t>Total Projected Assigned Reads (Millions)</t>
  </si>
  <si>
    <t>Min Projected Assigned Features (Millions)</t>
  </si>
  <si>
    <t>Max Projected Assigned Features (Millions)</t>
  </si>
  <si>
    <t>Number Reads Requested (Millions)</t>
  </si>
  <si>
    <t>Cost Per Mllion Reads</t>
  </si>
  <si>
    <t>Cost for Requested Reads</t>
  </si>
  <si>
    <t>Required Reads, Repooling</t>
  </si>
  <si>
    <t>Sequencing Cost, Repooling</t>
  </si>
  <si>
    <t>Cost Per Sample, Repooling</t>
  </si>
  <si>
    <t>Mean assigned features, repooling</t>
  </si>
  <si>
    <t>Target Mlilion reads per sample, repooling</t>
  </si>
  <si>
    <t>90% percentile</t>
  </si>
  <si>
    <t>Raw Reads (K)</t>
  </si>
  <si>
    <t>Mapped (K)</t>
  </si>
  <si>
    <t>% Mapped</t>
  </si>
  <si>
    <t>Assigned (K)</t>
  </si>
  <si>
    <t>minimum pooling value</t>
  </si>
  <si>
    <t>15uL left in RT plate</t>
  </si>
  <si>
    <t>Instructions For Use:</t>
  </si>
  <si>
    <t xml:space="preserve">1) Open the "QCReport" html returned after spike-in analysis. Under "General Statistics" section, select the "Copy Table" button </t>
  </si>
  <si>
    <t>Mean Assigned Features (Thousands)</t>
  </si>
  <si>
    <t>Min Assigned Features (Thousands)</t>
  </si>
  <si>
    <t>Max Assigned Features (Thousands)</t>
  </si>
  <si>
    <t>5) Send results to Brian and discuss</t>
  </si>
  <si>
    <r>
      <t xml:space="preserve">3) Change the value for "Number Reads Requested (Millions)" in cell </t>
    </r>
    <r>
      <rPr>
        <b/>
        <u/>
        <sz val="14"/>
        <color theme="1"/>
        <rFont val="Calibri (Body)"/>
      </rPr>
      <t>K106</t>
    </r>
    <r>
      <rPr>
        <sz val="14"/>
        <color theme="1"/>
        <rFont val="Calibri"/>
        <family val="2"/>
        <scheme val="minor"/>
      </rPr>
      <t>. The Values in columns K, M, and O will automatically update.</t>
    </r>
  </si>
  <si>
    <r>
      <t xml:space="preserve">4) Adjust the value in cell </t>
    </r>
    <r>
      <rPr>
        <b/>
        <u/>
        <sz val="14"/>
        <color theme="1"/>
        <rFont val="Calibri (Body)"/>
      </rPr>
      <t>K106</t>
    </r>
    <r>
      <rPr>
        <sz val="14"/>
        <color theme="1"/>
        <rFont val="Calibri"/>
        <family val="2"/>
        <scheme val="minor"/>
      </rPr>
      <t xml:space="preserve"> until most of the samples have at least 4 million Predicted Assigned Counts (Column M). </t>
    </r>
  </si>
  <si>
    <r>
      <t xml:space="preserve">2) Go to cell </t>
    </r>
    <r>
      <rPr>
        <b/>
        <u/>
        <sz val="14"/>
        <color theme="1"/>
        <rFont val="Calibri (Body)"/>
      </rPr>
      <t>B8</t>
    </r>
    <r>
      <rPr>
        <sz val="14"/>
        <color theme="1"/>
        <rFont val="Calibri"/>
        <family val="2"/>
        <scheme val="minor"/>
      </rPr>
      <t xml:space="preserve"> and past the copied table.Calculated summaries of key metrics will populate the blue shaded cells undereneath the table in columns C and I</t>
    </r>
  </si>
  <si>
    <t>Read Length</t>
  </si>
  <si>
    <t>150 bp</t>
  </si>
  <si>
    <t>Ileum_Control_1_2_Day</t>
  </si>
  <si>
    <t>Ileum_Control_1_6_Day</t>
  </si>
  <si>
    <t>Ileum_Control_2_2_Day</t>
  </si>
  <si>
    <t>Ileum_Control_2_6_Day</t>
  </si>
  <si>
    <t>Ileum_Control_3_2_Day</t>
  </si>
  <si>
    <t>Ileum_Control_3_6_Day</t>
  </si>
  <si>
    <t>0 bp</t>
  </si>
  <si>
    <t>Ileum_EPZ_1_2_Day</t>
  </si>
  <si>
    <t>Ileum_EPZ_1_6_Day</t>
  </si>
  <si>
    <t>Ileum_EPZ_2_2_Day</t>
  </si>
  <si>
    <t>Ileum_EPZ_2_6_Day</t>
  </si>
  <si>
    <t>Ileum_EPZ_3_2_Day</t>
  </si>
  <si>
    <t>Ileum_EPZ_3_6_Day</t>
  </si>
  <si>
    <t>Ileum_EPZ_CHIR_VPA_1_2_Day</t>
  </si>
  <si>
    <t>Ileum_EPZ_CHIR_VPA_1_6_Day</t>
  </si>
  <si>
    <t>Ileum_EPZ_CHIR_VPA_2_2_Day</t>
  </si>
  <si>
    <t>Ileum_EPZ_CHIR_VPA_2_6_Day</t>
  </si>
  <si>
    <t>Ileum_EPZ_CHIR_VPA_3_2_Day</t>
  </si>
  <si>
    <t>Ileum_EPZ_CHIR_VPA_3_6_Day</t>
  </si>
  <si>
    <t>Ileum_EPZ_VPA_1_2_Day</t>
  </si>
  <si>
    <t>Ileum_EPZ_VPA_1_6_Day</t>
  </si>
  <si>
    <t>Ileum_EPZ_VPA_2_2_Day</t>
  </si>
  <si>
    <t>Ileum_EPZ_VPA_2_6_Day</t>
  </si>
  <si>
    <t>Ileum_EPZ_VPA_3_2_Day</t>
  </si>
  <si>
    <t>Ileum_EPZ_VPA_3_6_Day</t>
  </si>
  <si>
    <t>Rectum_Control_1_2_Day</t>
  </si>
  <si>
    <t>Rectum_Control_1_6_Day</t>
  </si>
  <si>
    <t>Rectum_Control_2_2_Day</t>
  </si>
  <si>
    <t>Rectum_Control_2_6_Day</t>
  </si>
  <si>
    <t>Rectum_Control_3_2_Day</t>
  </si>
  <si>
    <t>Rectum_Control_3_6_Day</t>
  </si>
  <si>
    <t>Rectum_EPZ_1_2_Day</t>
  </si>
  <si>
    <t>Rectum_EPZ_1_6_Day</t>
  </si>
  <si>
    <t>Rectum_EPZ_2_2_Day</t>
  </si>
  <si>
    <t>Rectum_EPZ_2_6_Day</t>
  </si>
  <si>
    <t>Rectum_EPZ_3_2_Day</t>
  </si>
  <si>
    <t>Rectum_EPZ_3_6_Day</t>
  </si>
  <si>
    <t>Rectum_EPZ_CHIR_VPA_1_2_Day</t>
  </si>
  <si>
    <t>Rectum_EPZ_CHIR_VPA_1_6_Day</t>
  </si>
  <si>
    <t>Rectum_EPZ_CHIR_VPA_2_2_Day</t>
  </si>
  <si>
    <t>Rectum_EPZ_CHIR_VPA_2_6_Day</t>
  </si>
  <si>
    <t>Rectum_EPZ_CHIR_VPA_3_2_Day</t>
  </si>
  <si>
    <t>Rectum_EPZ_CHIR_VPA_3_6_Day</t>
  </si>
  <si>
    <t>Rectum_EPZ_VPA_1_2_Day</t>
  </si>
  <si>
    <t>Rectum_EPZ_VPA_1_6_Day</t>
  </si>
  <si>
    <t>Rectum_EPZ_VPA_2_2_Day</t>
  </si>
  <si>
    <t>Rectum_EPZ_VPA_2_6_Day</t>
  </si>
  <si>
    <t>Rectum_EPZ_VPA_3_2_Day</t>
  </si>
  <si>
    <t>Rectum_EPZ_VPA_3_6_Day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</si>
</sst>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0.0%"/>
    <numFmt numFmtId="166" formatCode="0.0"/>
  </numFmts>
  <fonts count="12" x14ac:knownFonts="1">
    <font>
      <sz val="12"/>
      <color theme="1"/>
      <name val="Calibri"/>
      <family val="2"/>
      <scheme val="minor"/>
    </font>
    <font>
      <b/>
      <sz val="14"/>
      <color theme="1"/>
      <name val="Helvetica Neue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Helvetica Neue"/>
      <family val="2"/>
    </font>
    <font>
      <sz val="14"/>
      <color theme="1"/>
      <name val="Calibri"/>
      <family val="2"/>
      <scheme val="minor"/>
    </font>
    <font>
      <sz val="14"/>
      <color theme="1"/>
      <name val="Helvetica"/>
      <family val="2"/>
    </font>
    <font>
      <b/>
      <u/>
      <sz val="14"/>
      <color theme="1"/>
      <name val="Calibri (Body)"/>
    </font>
    <font>
      <b/>
      <sz val="18"/>
      <color theme="1"/>
      <name val="Calibri"/>
      <family val="2"/>
      <scheme val="minor"/>
    </font>
    <font>
      <b/>
      <sz val="14"/>
      <color rgb="FF333333"/>
      <name val="Helvetica Neue"/>
      <family val="2"/>
    </font>
    <font>
      <sz val="10.8"/>
      <color rgb="FF333333"/>
      <name val="Helvetica Neue"/>
      <family val="2"/>
    </font>
    <font>
      <b/>
      <sz val="12"/>
      <color rgb="FFFFFFFF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2" fontId="5" fillId="0" borderId="0" xfId="0" applyNumberFormat="1" applyFont="1"/>
    <xf numFmtId="11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5" fillId="4" borderId="0" xfId="0" applyFont="1" applyFill="1"/>
    <xf numFmtId="0" fontId="4" fillId="0" borderId="0" xfId="0" applyFont="1" applyAlignment="1">
      <alignment horizontal="right"/>
    </xf>
    <xf numFmtId="166" fontId="6" fillId="0" borderId="0" xfId="0" applyNumberFormat="1" applyFont="1" applyAlignment="1">
      <alignment wrapText="1"/>
    </xf>
    <xf numFmtId="166" fontId="5" fillId="4" borderId="0" xfId="0" applyNumberFormat="1" applyFont="1" applyFill="1"/>
    <xf numFmtId="166" fontId="6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5" fillId="0" borderId="0" xfId="0" applyNumberFormat="1" applyFont="1" applyAlignment="1">
      <alignment wrapText="1"/>
    </xf>
    <xf numFmtId="2" fontId="5" fillId="4" borderId="0" xfId="0" applyNumberFormat="1" applyFont="1" applyFill="1"/>
    <xf numFmtId="2" fontId="5" fillId="0" borderId="0" xfId="0" applyNumberFormat="1" applyFont="1" applyAlignment="1">
      <alignment horizontal="right" wrapText="1"/>
    </xf>
    <xf numFmtId="9" fontId="5" fillId="0" borderId="0" xfId="0" applyNumberFormat="1" applyFont="1" applyAlignment="1">
      <alignment horizontal="right"/>
    </xf>
    <xf numFmtId="0" fontId="5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0" xfId="0" applyFont="1" applyFill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7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8" xfId="0" applyFont="1" applyFill="1" applyBorder="1"/>
    <xf numFmtId="0" fontId="8" fillId="2" borderId="4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10" fontId="5" fillId="0" borderId="7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7" xfId="0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1" fillId="0" borderId="0" xfId="0" applyFont="1" applyAlignment="1">
      <alignment horizontal="right" wrapText="1"/>
    </xf>
    <xf numFmtId="166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2" borderId="0" xfId="0" applyNumberFormat="1" applyFont="1" applyFill="1" applyAlignment="1">
      <alignment horizontal="right"/>
    </xf>
    <xf numFmtId="8" fontId="5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9" fillId="0" borderId="0" xfId="0" applyFont="1"/>
    <xf numFmtId="0" fontId="5" fillId="6" borderId="0" xfId="0" applyFont="1" applyFill="1"/>
    <xf numFmtId="2" fontId="5" fillId="6" borderId="0" xfId="0" applyNumberFormat="1" applyFont="1" applyFill="1" applyAlignment="1">
      <alignment horizontal="right"/>
    </xf>
    <xf numFmtId="0" fontId="10" fillId="0" borderId="0" xfId="0" applyFont="1"/>
    <xf numFmtId="10" fontId="11" fillId="0" borderId="0" xfId="0" applyNumberFormat="1" applyFont="1"/>
    <xf numFmtId="2" fontId="5" fillId="0" borderId="0" xfId="0" applyNumberFormat="1" applyFont="1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K Raw Sequences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K Raw Sequences</a:t>
          </a:r>
        </a:p>
      </cx:txPr>
    </cx:title>
    <cx:plotArea>
      <cx:plotAreaRegion/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K assigned features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 assigned features</a:t>
          </a:r>
        </a:p>
      </cx:txPr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67028</xdr:colOff>
      <xdr:row>9</xdr:row>
      <xdr:rowOff>28222</xdr:rowOff>
    </xdr:from>
    <xdr:to>
      <xdr:col>25</xdr:col>
      <xdr:colOff>762000</xdr:colOff>
      <xdr:row>32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F277CC6-4F1D-585F-C2D3-616ABA6B82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4928" y="2530122"/>
              <a:ext cx="8124472" cy="5662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47273</xdr:colOff>
      <xdr:row>35</xdr:row>
      <xdr:rowOff>38099</xdr:rowOff>
    </xdr:from>
    <xdr:to>
      <xdr:col>25</xdr:col>
      <xdr:colOff>790222</xdr:colOff>
      <xdr:row>54</xdr:row>
      <xdr:rowOff>155222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5F554BB-CEB5-6915-00BF-87805AEDA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15173" y="8813799"/>
              <a:ext cx="8172449" cy="4701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143F-3938-B04A-9B50-6A390464E726}">
  <dimension ref="A1:Q125"/>
  <sheetViews>
    <sheetView tabSelected="1" zoomScale="80" zoomScaleNormal="80" workbookViewId="0">
      <selection activeCell="J20" sqref="J20"/>
    </sheetView>
  </sheetViews>
  <sheetFormatPr baseColWidth="10" defaultRowHeight="19" x14ac:dyDescent="0.25"/>
  <cols>
    <col min="1" max="1" width="18.1640625" style="5" customWidth="1"/>
    <col min="2" max="2" width="22" style="5" customWidth="1"/>
    <col min="3" max="3" width="17.6640625" style="5" customWidth="1"/>
    <col min="4" max="4" width="15" style="9" customWidth="1"/>
    <col min="5" max="5" width="14.1640625" style="5" customWidth="1"/>
    <col min="6" max="6" width="14.33203125" style="5" customWidth="1"/>
    <col min="7" max="7" width="15.33203125" style="5" customWidth="1"/>
    <col min="8" max="8" width="39.33203125" style="5" customWidth="1"/>
    <col min="9" max="9" width="19" style="5" customWidth="1"/>
    <col min="10" max="10" width="30.33203125" style="5" customWidth="1"/>
    <col min="11" max="11" width="32.83203125" style="9" customWidth="1"/>
    <col min="12" max="12" width="1.83203125" style="5" customWidth="1"/>
    <col min="13" max="13" width="16" style="5" customWidth="1"/>
    <col min="14" max="14" width="18.5" style="4" customWidth="1"/>
    <col min="15" max="16384" width="10.83203125" style="5"/>
  </cols>
  <sheetData>
    <row r="1" spans="1:15" ht="24" x14ac:dyDescent="0.3">
      <c r="B1" s="33" t="s">
        <v>37</v>
      </c>
      <c r="C1" s="26"/>
      <c r="D1" s="26"/>
      <c r="E1" s="26"/>
      <c r="F1" s="26"/>
      <c r="G1" s="26"/>
      <c r="H1" s="27"/>
      <c r="N1" s="5"/>
      <c r="O1" s="4"/>
    </row>
    <row r="2" spans="1:15" x14ac:dyDescent="0.25">
      <c r="B2" s="28" t="s">
        <v>38</v>
      </c>
      <c r="C2" s="25"/>
      <c r="D2" s="25"/>
      <c r="E2" s="25"/>
      <c r="F2" s="25"/>
      <c r="G2" s="25"/>
      <c r="H2" s="29"/>
      <c r="N2" s="5"/>
      <c r="O2" s="4"/>
    </row>
    <row r="3" spans="1:15" x14ac:dyDescent="0.25">
      <c r="B3" s="28" t="s">
        <v>45</v>
      </c>
      <c r="C3" s="25"/>
      <c r="D3" s="25"/>
      <c r="E3" s="25"/>
      <c r="F3" s="25"/>
      <c r="G3" s="25"/>
      <c r="H3" s="29"/>
      <c r="N3" s="5"/>
      <c r="O3" s="4"/>
    </row>
    <row r="4" spans="1:15" x14ac:dyDescent="0.25">
      <c r="B4" s="28" t="s">
        <v>43</v>
      </c>
      <c r="C4" s="25"/>
      <c r="D4" s="25"/>
      <c r="E4" s="25"/>
      <c r="F4" s="25"/>
      <c r="G4" s="25"/>
      <c r="H4" s="29"/>
      <c r="N4" s="5"/>
      <c r="O4" s="4"/>
    </row>
    <row r="5" spans="1:15" x14ac:dyDescent="0.25">
      <c r="B5" s="28" t="s">
        <v>44</v>
      </c>
      <c r="C5" s="25"/>
      <c r="D5" s="25"/>
      <c r="E5" s="25"/>
      <c r="F5" s="25"/>
      <c r="G5" s="25"/>
      <c r="H5" s="29"/>
      <c r="N5" s="5"/>
      <c r="O5" s="4"/>
    </row>
    <row r="6" spans="1:15" ht="20" thickBot="1" x14ac:dyDescent="0.3">
      <c r="B6" s="30" t="s">
        <v>42</v>
      </c>
      <c r="C6" s="31"/>
      <c r="D6" s="31"/>
      <c r="E6" s="31"/>
      <c r="F6" s="31"/>
      <c r="G6" s="31"/>
      <c r="H6" s="32"/>
      <c r="N6" s="5"/>
      <c r="O6" s="4"/>
    </row>
    <row r="8" spans="1:15" s="23" customFormat="1" ht="39" customHeight="1" x14ac:dyDescent="0.25">
      <c r="A8" s="34" t="s">
        <v>5</v>
      </c>
      <c r="B8" s="55" t="s">
        <v>0</v>
      </c>
      <c r="C8" s="55" t="s">
        <v>31</v>
      </c>
      <c r="D8" s="55" t="s">
        <v>46</v>
      </c>
      <c r="E8" s="55" t="s">
        <v>32</v>
      </c>
      <c r="F8" s="55" t="s">
        <v>33</v>
      </c>
      <c r="G8" s="55" t="s">
        <v>34</v>
      </c>
      <c r="H8" s="24"/>
      <c r="I8" s="48" t="s">
        <v>12</v>
      </c>
      <c r="J8" s="24"/>
      <c r="K8" s="48" t="s">
        <v>17</v>
      </c>
      <c r="M8" s="2" t="s">
        <v>3</v>
      </c>
      <c r="N8" s="1"/>
    </row>
    <row r="9" spans="1:15" x14ac:dyDescent="0.25">
      <c r="A9" s="5">
        <v>1</v>
      </c>
      <c r="B9" s="55"/>
      <c r="C9" s="55"/>
      <c r="D9" s="55"/>
      <c r="E9" s="55"/>
      <c r="F9" s="55"/>
      <c r="G9" s="55"/>
      <c r="H9" s="6"/>
      <c r="I9" s="7" t="str">
        <f>IF(C9&gt;0,(C9/C$108)*I$106,"")</f>
        <v/>
      </c>
      <c r="J9" s="7"/>
      <c r="K9" s="50" t="str">
        <f>IF(C9&gt;0,I9*(G9/C9),"")</f>
        <v/>
      </c>
      <c r="M9" s="7" t="str">
        <f>IF(C9&gt;0,(C$111/C9)*$K$116,"")</f>
        <v/>
      </c>
      <c r="O9" s="5" t="s">
        <v>36</v>
      </c>
    </row>
    <row r="10" spans="1:15" x14ac:dyDescent="0.25">
      <c r="A10" s="5">
        <v>2</v>
      </c>
      <c r="B10" s="55" t="s">
        <v>48</v>
      </c>
      <c r="C10" s="58">
        <v>16.2</v>
      </c>
      <c r="D10" s="58" t="s">
        <v>47</v>
      </c>
      <c r="E10" s="58">
        <v>9.6999999999999993</v>
      </c>
      <c r="F10" s="59">
        <v>0.751</v>
      </c>
      <c r="G10" s="58">
        <v>8</v>
      </c>
      <c r="H10" s="6"/>
      <c r="I10" s="7">
        <f>IF(C10&gt;0,(C10/C$108)*I$106,"")</f>
        <v>9.1564222128020329</v>
      </c>
      <c r="J10" s="7"/>
      <c r="K10" s="50">
        <f>IF(C10&gt;0,I10*(G10/C10),"")</f>
        <v>4.521689981630634</v>
      </c>
      <c r="M10" s="7">
        <f>IF(C10&gt;0,(C$111/C10)*$K$116,"")</f>
        <v>5.3950617283950626</v>
      </c>
    </row>
    <row r="11" spans="1:15" x14ac:dyDescent="0.25">
      <c r="A11" s="5">
        <v>3</v>
      </c>
      <c r="B11" s="55" t="s">
        <v>49</v>
      </c>
      <c r="C11" s="58">
        <v>37.1</v>
      </c>
      <c r="D11" s="58" t="s">
        <v>47</v>
      </c>
      <c r="E11" s="58">
        <v>22.4</v>
      </c>
      <c r="F11" s="59">
        <v>0.77200000000000002</v>
      </c>
      <c r="G11" s="58">
        <v>19.899999999999999</v>
      </c>
      <c r="H11" s="6"/>
      <c r="I11" s="7">
        <f>IF(C11&gt;0,(C11/C$108)*I$106,"")</f>
        <v>20.969337289812067</v>
      </c>
      <c r="J11" s="7"/>
      <c r="K11" s="50">
        <f>IF(C11&gt;0,I11*(G11/C11),"")</f>
        <v>11.247703829306202</v>
      </c>
      <c r="M11" s="7">
        <f>IF(C11&gt;0,(C$111/C11)*$K$116,"")</f>
        <v>2.3557951482479784</v>
      </c>
    </row>
    <row r="12" spans="1:15" x14ac:dyDescent="0.25">
      <c r="A12" s="5">
        <v>4</v>
      </c>
      <c r="B12" s="55" t="s">
        <v>50</v>
      </c>
      <c r="C12" s="58">
        <v>7.5</v>
      </c>
      <c r="D12" s="58" t="s">
        <v>47</v>
      </c>
      <c r="E12" s="58">
        <v>5</v>
      </c>
      <c r="F12" s="59">
        <v>0.77</v>
      </c>
      <c r="G12" s="58">
        <v>4.3</v>
      </c>
      <c r="H12" s="6"/>
      <c r="I12" s="7">
        <f>IF(C12&gt;0,(C12/C$108)*I$106,"")</f>
        <v>4.2390843577787196</v>
      </c>
      <c r="J12" s="7"/>
      <c r="K12" s="50">
        <f>IF(C12&gt;0,I12*(G12/C12),"")</f>
        <v>2.4304083651264659</v>
      </c>
      <c r="M12" s="7">
        <f>IF(C12&gt;0,(C$111/C12)*$K$116,"")</f>
        <v>11.653333333333334</v>
      </c>
    </row>
    <row r="13" spans="1:15" x14ac:dyDescent="0.25">
      <c r="A13" s="5">
        <v>5</v>
      </c>
      <c r="B13" s="55" t="s">
        <v>51</v>
      </c>
      <c r="C13" s="58">
        <v>43.7</v>
      </c>
      <c r="D13" s="58" t="s">
        <v>47</v>
      </c>
      <c r="E13" s="58">
        <v>24</v>
      </c>
      <c r="F13" s="59">
        <v>0.76400000000000001</v>
      </c>
      <c r="G13" s="58">
        <v>21.5</v>
      </c>
      <c r="H13" s="6"/>
      <c r="I13" s="7">
        <f>IF(C13&gt;0,(C13/C$108)*I$106,"")</f>
        <v>24.699731524657338</v>
      </c>
      <c r="J13" s="7"/>
      <c r="K13" s="50">
        <f>IF(C13&gt;0,I13*(G13/C13),"")</f>
        <v>12.152041825632327</v>
      </c>
      <c r="M13" s="7">
        <f>IF(C13&gt;0,(C$111/C13)*$K$116,"")</f>
        <v>2</v>
      </c>
    </row>
    <row r="14" spans="1:15" x14ac:dyDescent="0.25">
      <c r="A14" s="5">
        <v>6</v>
      </c>
      <c r="B14" s="55" t="s">
        <v>52</v>
      </c>
      <c r="C14" s="58">
        <v>12.5</v>
      </c>
      <c r="D14" s="58" t="s">
        <v>47</v>
      </c>
      <c r="E14" s="58">
        <v>7.6</v>
      </c>
      <c r="F14" s="59">
        <v>0.78500000000000003</v>
      </c>
      <c r="G14" s="58">
        <v>6.6</v>
      </c>
      <c r="H14" s="6"/>
      <c r="I14" s="7">
        <f>IF(C14&gt;0,(C14/C$108)*I$106,"")</f>
        <v>7.0651405962978657</v>
      </c>
      <c r="J14" s="7"/>
      <c r="K14" s="50">
        <f>IF(C14&gt;0,I14*(G14/C14),"")</f>
        <v>3.7303942348452734</v>
      </c>
      <c r="M14" s="7">
        <f>IF(C14&gt;0,(C$111/C14)*$K$116,"")</f>
        <v>6.9920000000000009</v>
      </c>
    </row>
    <row r="15" spans="1:15" x14ac:dyDescent="0.25">
      <c r="A15" s="5">
        <v>7</v>
      </c>
      <c r="B15" s="55" t="s">
        <v>53</v>
      </c>
      <c r="C15" s="58">
        <v>0</v>
      </c>
      <c r="D15" s="58" t="s">
        <v>54</v>
      </c>
      <c r="E15" s="58">
        <v>0</v>
      </c>
      <c r="F15" s="59">
        <v>0</v>
      </c>
      <c r="G15" s="58">
        <v>0</v>
      </c>
      <c r="H15" s="6"/>
      <c r="I15" s="60" t="str">
        <f>IF(C15&gt;0,(C15/C$108)*I$106,"")</f>
        <v/>
      </c>
      <c r="J15" s="7"/>
      <c r="K15" s="50" t="str">
        <f>IF(C15&gt;0,I15*(G15/C15),"")</f>
        <v/>
      </c>
      <c r="M15" s="7" t="str">
        <f>IF(C15&gt;0,(C$111/C15)*$K$116,"")</f>
        <v/>
      </c>
    </row>
    <row r="16" spans="1:15" x14ac:dyDescent="0.25">
      <c r="A16" s="5">
        <v>8</v>
      </c>
      <c r="B16" s="55" t="s">
        <v>55</v>
      </c>
      <c r="C16" s="58">
        <v>4</v>
      </c>
      <c r="D16" s="58" t="s">
        <v>47</v>
      </c>
      <c r="E16" s="58">
        <v>2.4</v>
      </c>
      <c r="F16" s="59">
        <v>0.746</v>
      </c>
      <c r="G16" s="58">
        <v>2.1</v>
      </c>
      <c r="H16" s="6"/>
      <c r="I16" s="7">
        <f>IF(C16&gt;0,(C16/C$108)*I$106,"")</f>
        <v>2.260844990815317</v>
      </c>
      <c r="J16" s="7"/>
      <c r="K16" s="50">
        <f>IF(C16&gt;0,I16*(G16/C16),"")</f>
        <v>1.1869436201780414</v>
      </c>
      <c r="M16" s="7">
        <f>IF(C16&gt;0,(C$111/C16)*$K$116,"")</f>
        <v>21.85</v>
      </c>
    </row>
    <row r="17" spans="1:13" x14ac:dyDescent="0.25">
      <c r="A17" s="5">
        <v>9</v>
      </c>
      <c r="B17" s="55" t="s">
        <v>56</v>
      </c>
      <c r="C17" s="58">
        <v>20.2</v>
      </c>
      <c r="D17" s="58" t="s">
        <v>47</v>
      </c>
      <c r="E17" s="58">
        <v>12.3</v>
      </c>
      <c r="F17" s="59">
        <v>0.77100000000000002</v>
      </c>
      <c r="G17" s="58">
        <v>10.9</v>
      </c>
      <c r="H17" s="6"/>
      <c r="I17" s="7">
        <f>IF(C17&gt;0,(C17/C$108)*I$106,"")</f>
        <v>11.417267203617351</v>
      </c>
      <c r="J17" s="7"/>
      <c r="K17" s="50">
        <f>IF(C17&gt;0,I17*(G17/C17),"")</f>
        <v>6.1608025999717393</v>
      </c>
      <c r="M17" s="7">
        <f>IF(C17&gt;0,(C$111/C17)*$K$116,"")</f>
        <v>4.326732673267327</v>
      </c>
    </row>
    <row r="18" spans="1:13" x14ac:dyDescent="0.25">
      <c r="A18" s="5">
        <v>10</v>
      </c>
      <c r="B18" s="55" t="s">
        <v>57</v>
      </c>
      <c r="C18" s="58">
        <v>10.7</v>
      </c>
      <c r="D18" s="58" t="s">
        <v>47</v>
      </c>
      <c r="E18" s="58">
        <v>6.7</v>
      </c>
      <c r="F18" s="59">
        <v>0.76600000000000001</v>
      </c>
      <c r="G18" s="58">
        <v>5.4</v>
      </c>
      <c r="H18" s="6"/>
      <c r="I18" s="7">
        <f>IF(C18&gt;0,(C18/C$108)*I$106,"")</f>
        <v>6.0477603504309734</v>
      </c>
      <c r="J18" s="7"/>
      <c r="K18" s="50">
        <f>IF(C18&gt;0,I18*(G18/C18),"")</f>
        <v>3.0521407376006784</v>
      </c>
      <c r="M18" s="7">
        <f>IF(C18&gt;0,(C$111/C18)*$K$116,"")</f>
        <v>8.1682242990654217</v>
      </c>
    </row>
    <row r="19" spans="1:13" x14ac:dyDescent="0.25">
      <c r="A19" s="5">
        <v>11</v>
      </c>
      <c r="B19" s="55" t="s">
        <v>58</v>
      </c>
      <c r="C19" s="58">
        <v>30.9</v>
      </c>
      <c r="D19" s="58" t="s">
        <v>47</v>
      </c>
      <c r="E19" s="58">
        <v>19.2</v>
      </c>
      <c r="F19" s="59">
        <v>0.76500000000000001</v>
      </c>
      <c r="G19" s="58">
        <v>17.3</v>
      </c>
      <c r="H19" s="6"/>
      <c r="I19" s="7">
        <f>IF(C19&gt;0,(C19/C$108)*I$106,"")</f>
        <v>17.465027554048323</v>
      </c>
      <c r="J19" s="7"/>
      <c r="K19" s="50">
        <f>IF(C19&gt;0,I19*(G19/C19),"")</f>
        <v>9.7781545852762459</v>
      </c>
      <c r="M19" s="7">
        <f>IF(C19&gt;0,(C$111/C19)*$K$116,"")</f>
        <v>2.8284789644012949</v>
      </c>
    </row>
    <row r="20" spans="1:13" x14ac:dyDescent="0.25">
      <c r="A20" s="5">
        <v>12</v>
      </c>
      <c r="B20" s="55" t="s">
        <v>59</v>
      </c>
      <c r="C20" s="58">
        <v>4.7</v>
      </c>
      <c r="D20" s="58" t="s">
        <v>47</v>
      </c>
      <c r="E20" s="58">
        <v>2.7</v>
      </c>
      <c r="F20" s="59">
        <v>0.78100000000000003</v>
      </c>
      <c r="G20" s="58">
        <v>2.4</v>
      </c>
      <c r="H20" s="6"/>
      <c r="I20" s="7">
        <f>IF(C20&gt;0,(C20/C$108)*I$106,"")</f>
        <v>2.6564928642079977</v>
      </c>
      <c r="J20" s="7"/>
      <c r="K20" s="50">
        <f>IF(C20&gt;0,I20*(G20/C20),"")</f>
        <v>1.3565069944891901</v>
      </c>
      <c r="M20" s="7">
        <f>IF(C20&gt;0,(C$111/C20)*$K$116,"")</f>
        <v>18.595744680851066</v>
      </c>
    </row>
    <row r="21" spans="1:13" x14ac:dyDescent="0.25">
      <c r="A21" s="5">
        <v>13</v>
      </c>
      <c r="B21" s="55" t="s">
        <v>60</v>
      </c>
      <c r="C21" s="58">
        <v>0</v>
      </c>
      <c r="D21" s="58" t="s">
        <v>54</v>
      </c>
      <c r="E21" s="58">
        <v>0</v>
      </c>
      <c r="F21" s="59">
        <v>0</v>
      </c>
      <c r="G21" s="58">
        <v>0</v>
      </c>
      <c r="H21" s="6"/>
      <c r="I21" s="7" t="str">
        <f>IF(C21&gt;0,(C21/C$108)*I$106,"")</f>
        <v/>
      </c>
      <c r="J21" s="7"/>
      <c r="K21" s="50" t="str">
        <f>IF(C21&gt;0,I21*(G21/C21),"")</f>
        <v/>
      </c>
      <c r="M21" s="7" t="str">
        <f>IF(C21&gt;0,(C$111/C21)*$K$116,"")</f>
        <v/>
      </c>
    </row>
    <row r="22" spans="1:13" x14ac:dyDescent="0.25">
      <c r="A22" s="5">
        <v>14</v>
      </c>
      <c r="B22" s="55" t="s">
        <v>61</v>
      </c>
      <c r="C22" s="58">
        <v>9.9</v>
      </c>
      <c r="D22" s="58" t="s">
        <v>47</v>
      </c>
      <c r="E22" s="58">
        <v>6.1</v>
      </c>
      <c r="F22" s="59">
        <v>0.77200000000000002</v>
      </c>
      <c r="G22" s="58">
        <v>5.2</v>
      </c>
      <c r="H22" s="6"/>
      <c r="I22" s="7">
        <f>IF(C22&gt;0,(C22/C$108)*I$106,"")</f>
        <v>5.5955913522679097</v>
      </c>
      <c r="J22" s="7"/>
      <c r="K22" s="50">
        <f>IF(C22&gt;0,I22*(G22/C22),"")</f>
        <v>2.9390984880599125</v>
      </c>
      <c r="M22" s="7">
        <f>IF(C22&gt;0,(C$111/C22)*$K$116,"")</f>
        <v>8.8282828282828287</v>
      </c>
    </row>
    <row r="23" spans="1:13" x14ac:dyDescent="0.25">
      <c r="A23" s="5">
        <v>15</v>
      </c>
      <c r="B23" s="55" t="s">
        <v>62</v>
      </c>
      <c r="C23" s="58">
        <v>31.2</v>
      </c>
      <c r="D23" s="58" t="s">
        <v>47</v>
      </c>
      <c r="E23" s="58">
        <v>18.7</v>
      </c>
      <c r="F23" s="59">
        <v>0.76900000000000002</v>
      </c>
      <c r="G23" s="58">
        <v>16.3</v>
      </c>
      <c r="H23" s="6"/>
      <c r="I23" s="7">
        <f>IF(C23&gt;0,(C23/C$108)*I$106,"")</f>
        <v>17.634590928359472</v>
      </c>
      <c r="J23" s="7"/>
      <c r="K23" s="50">
        <f>IF(C23&gt;0,I23*(G23/C23),"")</f>
        <v>9.2129433375724172</v>
      </c>
      <c r="M23" s="7">
        <f>IF(C23&gt;0,(C$111/C23)*$K$116,"")</f>
        <v>2.8012820512820515</v>
      </c>
    </row>
    <row r="24" spans="1:13" x14ac:dyDescent="0.25">
      <c r="A24" s="5">
        <v>16</v>
      </c>
      <c r="B24" s="55" t="s">
        <v>63</v>
      </c>
      <c r="C24" s="58">
        <v>7.3</v>
      </c>
      <c r="D24" s="58" t="s">
        <v>47</v>
      </c>
      <c r="E24" s="58">
        <v>4.0999999999999996</v>
      </c>
      <c r="F24" s="59">
        <v>0.78200000000000003</v>
      </c>
      <c r="G24" s="58">
        <v>3.5</v>
      </c>
      <c r="H24" s="6"/>
      <c r="I24" s="7">
        <f>IF(C24&gt;0,(C24/C$108)*I$106,"")</f>
        <v>4.1260421082379528</v>
      </c>
      <c r="J24" s="7"/>
      <c r="K24" s="50">
        <f>IF(C24&gt;0,I24*(G24/C24),"")</f>
        <v>1.9782393669634022</v>
      </c>
      <c r="M24" s="7">
        <f>IF(C24&gt;0,(C$111/C24)*$K$116,"")</f>
        <v>11.972602739726028</v>
      </c>
    </row>
    <row r="25" spans="1:13" x14ac:dyDescent="0.25">
      <c r="A25" s="5">
        <v>17</v>
      </c>
      <c r="B25" s="55" t="s">
        <v>64</v>
      </c>
      <c r="C25" s="58">
        <v>27.1</v>
      </c>
      <c r="D25" s="58" t="s">
        <v>47</v>
      </c>
      <c r="E25" s="58">
        <v>16.600000000000001</v>
      </c>
      <c r="F25" s="59">
        <v>0.76300000000000001</v>
      </c>
      <c r="G25" s="58">
        <v>15.1</v>
      </c>
      <c r="H25" s="6"/>
      <c r="I25" s="7">
        <f>IF(C25&gt;0,(C25/C$108)*I$106,"")</f>
        <v>15.317224812773775</v>
      </c>
      <c r="J25" s="7"/>
      <c r="K25" s="50">
        <f>IF(C25&gt;0,I25*(G25/C25),"")</f>
        <v>8.5346898403278235</v>
      </c>
      <c r="M25" s="7">
        <f>IF(C25&gt;0,(C$111/C25)*$K$116,"")</f>
        <v>3.2250922509225091</v>
      </c>
    </row>
    <row r="26" spans="1:13" x14ac:dyDescent="0.25">
      <c r="A26" s="5">
        <v>18</v>
      </c>
      <c r="B26" s="55" t="s">
        <v>65</v>
      </c>
      <c r="C26" s="58">
        <v>6.1</v>
      </c>
      <c r="D26" s="58" t="s">
        <v>47</v>
      </c>
      <c r="E26" s="58">
        <v>3.8</v>
      </c>
      <c r="F26" s="59">
        <v>0.77800000000000002</v>
      </c>
      <c r="G26" s="58">
        <v>3.3</v>
      </c>
      <c r="H26" s="6"/>
      <c r="I26" s="7">
        <f>IF(C26&gt;0,(C26/C$108)*I$106,"")</f>
        <v>3.4477886109933582</v>
      </c>
      <c r="J26" s="7"/>
      <c r="K26" s="50">
        <f>IF(C26&gt;0,I26*(G26/C26),"")</f>
        <v>1.8651971174226365</v>
      </c>
      <c r="M26" s="7">
        <f>IF(C26&gt;0,(C$111/C26)*$K$116,"")</f>
        <v>14.327868852459018</v>
      </c>
    </row>
    <row r="27" spans="1:13" x14ac:dyDescent="0.25">
      <c r="A27" s="5">
        <v>19</v>
      </c>
      <c r="B27" s="55" t="s">
        <v>66</v>
      </c>
      <c r="C27" s="58">
        <v>0</v>
      </c>
      <c r="D27" s="58" t="s">
        <v>54</v>
      </c>
      <c r="E27" s="58">
        <v>0</v>
      </c>
      <c r="F27" s="59">
        <v>0</v>
      </c>
      <c r="G27" s="58">
        <v>0</v>
      </c>
      <c r="H27" s="6"/>
      <c r="I27" s="7" t="str">
        <f>IF(C27&gt;0,(C27/C$108)*I$106,"")</f>
        <v/>
      </c>
      <c r="J27" s="7"/>
      <c r="K27" s="50" t="str">
        <f>IF(C27&gt;0,I27*(G27/C27),"")</f>
        <v/>
      </c>
      <c r="M27" s="7" t="str">
        <f>IF(C27&gt;0,(C$111/C27)*$K$116,"")</f>
        <v/>
      </c>
    </row>
    <row r="28" spans="1:13" x14ac:dyDescent="0.25">
      <c r="A28" s="5">
        <v>20</v>
      </c>
      <c r="B28" s="55" t="s">
        <v>67</v>
      </c>
      <c r="C28" s="58">
        <v>18.8</v>
      </c>
      <c r="D28" s="58" t="s">
        <v>47</v>
      </c>
      <c r="E28" s="58">
        <v>11.7</v>
      </c>
      <c r="F28" s="59">
        <v>0.79400000000000004</v>
      </c>
      <c r="G28" s="58">
        <v>10.1</v>
      </c>
      <c r="H28" s="6"/>
      <c r="I28" s="7">
        <f>IF(C28&gt;0,(C28/C$108)*I$106,"")</f>
        <v>10.625971456831991</v>
      </c>
      <c r="J28" s="7"/>
      <c r="K28" s="50">
        <f>IF(C28&gt;0,I28*(G28/C28),"")</f>
        <v>5.7086336018086747</v>
      </c>
      <c r="M28" s="7">
        <f>IF(C28&gt;0,(C$111/C28)*$K$116,"")</f>
        <v>4.6489361702127665</v>
      </c>
    </row>
    <row r="29" spans="1:13" x14ac:dyDescent="0.25">
      <c r="A29" s="5">
        <v>21</v>
      </c>
      <c r="B29" s="55" t="s">
        <v>68</v>
      </c>
      <c r="C29" s="58">
        <v>13.4</v>
      </c>
      <c r="D29" s="58" t="s">
        <v>47</v>
      </c>
      <c r="E29" s="58">
        <v>8.5</v>
      </c>
      <c r="F29" s="59">
        <v>0.77500000000000002</v>
      </c>
      <c r="G29" s="58">
        <v>7.5</v>
      </c>
      <c r="H29" s="6"/>
      <c r="I29" s="7">
        <f>IF(C29&gt;0,(C29/C$108)*I$106,"")</f>
        <v>7.5738307192313128</v>
      </c>
      <c r="J29" s="7"/>
      <c r="K29" s="50">
        <f>IF(C29&gt;0,I29*(G29/C29),"")</f>
        <v>4.2390843577787196</v>
      </c>
      <c r="M29" s="7">
        <f>IF(C29&gt;0,(C$111/C29)*$K$116,"")</f>
        <v>6.5223880597014929</v>
      </c>
    </row>
    <row r="30" spans="1:13" x14ac:dyDescent="0.25">
      <c r="A30" s="5">
        <v>22</v>
      </c>
      <c r="B30" s="55" t="s">
        <v>69</v>
      </c>
      <c r="C30" s="58">
        <v>18.8</v>
      </c>
      <c r="D30" s="58" t="s">
        <v>47</v>
      </c>
      <c r="E30" s="58">
        <v>10.8</v>
      </c>
      <c r="F30" s="59">
        <v>0.77400000000000002</v>
      </c>
      <c r="G30" s="58">
        <v>9.1999999999999993</v>
      </c>
      <c r="H30" s="6"/>
      <c r="I30" s="7">
        <f>IF(C30&gt;0,(C30/C$108)*I$106,"")</f>
        <v>10.625971456831991</v>
      </c>
      <c r="J30" s="7"/>
      <c r="K30" s="50">
        <f>IF(C30&gt;0,I30*(G30/C30),"")</f>
        <v>5.1999434788752286</v>
      </c>
      <c r="M30" s="7">
        <f>IF(C30&gt;0,(C$111/C30)*$K$116,"")</f>
        <v>4.6489361702127665</v>
      </c>
    </row>
    <row r="31" spans="1:13" x14ac:dyDescent="0.25">
      <c r="A31" s="5">
        <v>23</v>
      </c>
      <c r="B31" s="55" t="s">
        <v>70</v>
      </c>
      <c r="C31" s="58">
        <v>26</v>
      </c>
      <c r="D31" s="58" t="s">
        <v>47</v>
      </c>
      <c r="E31" s="58">
        <v>15.4</v>
      </c>
      <c r="F31" s="59">
        <v>0.77500000000000002</v>
      </c>
      <c r="G31" s="58">
        <v>13.9</v>
      </c>
      <c r="H31" s="6"/>
      <c r="I31" s="7">
        <f>IF(C31&gt;0,(C31/C$108)*I$106,"")</f>
        <v>14.695492440299562</v>
      </c>
      <c r="J31" s="7"/>
      <c r="K31" s="50">
        <f>IF(C31&gt;0,I31*(G31/C31),"")</f>
        <v>7.8564363430832271</v>
      </c>
      <c r="M31" s="7">
        <f>IF(C31&gt;0,(C$111/C31)*$K$116,"")</f>
        <v>3.3615384615384616</v>
      </c>
    </row>
    <row r="32" spans="1:13" x14ac:dyDescent="0.25">
      <c r="A32" s="5">
        <v>24</v>
      </c>
      <c r="B32" s="55" t="s">
        <v>71</v>
      </c>
      <c r="C32" s="58">
        <v>15.5</v>
      </c>
      <c r="D32" s="58" t="s">
        <v>47</v>
      </c>
      <c r="E32" s="58">
        <v>9.9</v>
      </c>
      <c r="F32" s="59">
        <v>0.77800000000000002</v>
      </c>
      <c r="G32" s="58">
        <v>8.3000000000000007</v>
      </c>
      <c r="H32" s="6"/>
      <c r="I32" s="60">
        <f>IF(C32&gt;0,(C32/C$108)*I$106,"")</f>
        <v>8.7607743394093536</v>
      </c>
      <c r="J32" s="7"/>
      <c r="K32" s="57">
        <f>IF(C32&gt;0,I32*(G32/C32),"")</f>
        <v>4.6912533559417833</v>
      </c>
      <c r="M32" s="7">
        <f>IF(C32&gt;0,(C$111/C32)*$K$116,"")</f>
        <v>5.6387096774193548</v>
      </c>
    </row>
    <row r="33" spans="1:13" x14ac:dyDescent="0.25">
      <c r="A33" s="5">
        <v>25</v>
      </c>
      <c r="B33" s="55" t="s">
        <v>72</v>
      </c>
      <c r="C33" s="58">
        <v>0</v>
      </c>
      <c r="D33" s="58" t="s">
        <v>54</v>
      </c>
      <c r="E33" s="58">
        <v>0</v>
      </c>
      <c r="F33" s="59">
        <v>0</v>
      </c>
      <c r="G33" s="58">
        <v>0</v>
      </c>
      <c r="H33" s="6"/>
      <c r="I33" s="7" t="str">
        <f>IF(C33&gt;0,(C33/C$108)*I$106,"")</f>
        <v/>
      </c>
      <c r="J33" s="7"/>
      <c r="K33" s="50" t="str">
        <f>IF(C33&gt;0,I33*(G33/C33),"")</f>
        <v/>
      </c>
      <c r="L33" s="8"/>
      <c r="M33" s="7" t="str">
        <f>IF(C33&gt;0,(C$111/C33)*$K$116,"")</f>
        <v/>
      </c>
    </row>
    <row r="34" spans="1:13" x14ac:dyDescent="0.25">
      <c r="A34" s="5">
        <v>26</v>
      </c>
      <c r="B34" s="55" t="s">
        <v>73</v>
      </c>
      <c r="C34" s="58">
        <v>39</v>
      </c>
      <c r="D34" s="58" t="s">
        <v>47</v>
      </c>
      <c r="E34" s="58">
        <v>24.4</v>
      </c>
      <c r="F34" s="59">
        <v>0.79400000000000004</v>
      </c>
      <c r="G34" s="58">
        <v>21.4</v>
      </c>
      <c r="H34" s="6"/>
      <c r="I34" s="7">
        <f>IF(C34&gt;0,(C34/C$108)*I$106,"")</f>
        <v>22.04323866044934</v>
      </c>
      <c r="J34" s="7"/>
      <c r="K34" s="50">
        <f>IF(C34&gt;0,I34*(G34/C34),"")</f>
        <v>12.095520700861945</v>
      </c>
      <c r="M34" s="7">
        <f>IF(C34&gt;0,(C$111/C34)*$K$116,"")</f>
        <v>2.2410256410256411</v>
      </c>
    </row>
    <row r="35" spans="1:13" x14ac:dyDescent="0.25">
      <c r="A35" s="5">
        <v>27</v>
      </c>
      <c r="B35" s="55" t="s">
        <v>74</v>
      </c>
      <c r="C35" s="58">
        <v>32.700000000000003</v>
      </c>
      <c r="D35" s="58" t="s">
        <v>47</v>
      </c>
      <c r="E35" s="58">
        <v>20.100000000000001</v>
      </c>
      <c r="F35" s="59">
        <v>0.78100000000000003</v>
      </c>
      <c r="G35" s="58">
        <v>17.899999999999999</v>
      </c>
      <c r="H35" s="6"/>
      <c r="I35" s="7">
        <f>IF(C35&gt;0,(C35/C$108)*I$106,"")</f>
        <v>18.482407799915219</v>
      </c>
      <c r="J35" s="7"/>
      <c r="K35" s="50">
        <f>IF(C35&gt;0,I35*(G35/C35),"")</f>
        <v>10.117281333898543</v>
      </c>
      <c r="M35" s="7">
        <f>IF(C35&gt;0,(C$111/C35)*$K$116,"")</f>
        <v>2.6727828746177371</v>
      </c>
    </row>
    <row r="36" spans="1:13" x14ac:dyDescent="0.25">
      <c r="A36" s="5">
        <v>28</v>
      </c>
      <c r="B36" s="55" t="s">
        <v>75</v>
      </c>
      <c r="C36" s="58">
        <v>30.7</v>
      </c>
      <c r="D36" s="58" t="s">
        <v>47</v>
      </c>
      <c r="E36" s="58">
        <v>18.899999999999999</v>
      </c>
      <c r="F36" s="59">
        <v>0.79700000000000004</v>
      </c>
      <c r="G36" s="58">
        <v>16.899999999999999</v>
      </c>
      <c r="H36" s="6"/>
      <c r="I36" s="7">
        <f>IF(C36&gt;0,(C36/C$108)*I$106,"")</f>
        <v>17.351985304507558</v>
      </c>
      <c r="J36" s="7"/>
      <c r="K36" s="50">
        <f>IF(C36&gt;0,I36*(G36/C36),"")</f>
        <v>9.5520700861947123</v>
      </c>
      <c r="M36" s="7">
        <f>IF(C36&gt;0,(C$111/C36)*$K$116,"")</f>
        <v>2.8469055374592838</v>
      </c>
    </row>
    <row r="37" spans="1:13" x14ac:dyDescent="0.25">
      <c r="A37" s="5">
        <v>29</v>
      </c>
      <c r="B37" s="55" t="s">
        <v>76</v>
      </c>
      <c r="C37" s="58">
        <v>43.3</v>
      </c>
      <c r="D37" s="58" t="s">
        <v>47</v>
      </c>
      <c r="E37" s="58">
        <v>27.3</v>
      </c>
      <c r="F37" s="59">
        <v>0.78700000000000003</v>
      </c>
      <c r="G37" s="58">
        <v>24.7</v>
      </c>
      <c r="H37" s="6"/>
      <c r="I37" s="7">
        <f>IF(C37&gt;0,(C37/C$108)*I$106,"")</f>
        <v>24.473647025575808</v>
      </c>
      <c r="J37" s="7"/>
      <c r="K37" s="50">
        <f>IF(C37&gt;0,I37*(G37/C37),"")</f>
        <v>13.960717818284584</v>
      </c>
      <c r="M37" s="7">
        <f>IF(C37&gt;0,(C$111/C37)*$K$116,"")</f>
        <v>2.0184757505773674</v>
      </c>
    </row>
    <row r="38" spans="1:13" x14ac:dyDescent="0.25">
      <c r="A38" s="5">
        <v>30</v>
      </c>
      <c r="B38" s="55" t="s">
        <v>77</v>
      </c>
      <c r="C38" s="58">
        <v>15.7</v>
      </c>
      <c r="D38" s="58" t="s">
        <v>47</v>
      </c>
      <c r="E38" s="58">
        <v>9.1999999999999993</v>
      </c>
      <c r="F38" s="59">
        <v>0.79200000000000004</v>
      </c>
      <c r="G38" s="58">
        <v>7.6</v>
      </c>
      <c r="H38" s="6"/>
      <c r="I38" s="7">
        <f>IF(C38&gt;0,(C38/C$108)*I$106,"")</f>
        <v>8.8738165889501186</v>
      </c>
      <c r="J38" s="7"/>
      <c r="K38" s="50">
        <f>IF(C38&gt;0,I38*(G38/C38),"")</f>
        <v>4.2956054825491021</v>
      </c>
      <c r="M38" s="7">
        <f>IF(C38&gt;0,(C$111/C38)*$K$116,"")</f>
        <v>5.5668789808917207</v>
      </c>
    </row>
    <row r="39" spans="1:13" x14ac:dyDescent="0.25">
      <c r="A39" s="5">
        <v>31</v>
      </c>
      <c r="B39" s="55" t="s">
        <v>78</v>
      </c>
      <c r="C39" s="58">
        <v>0</v>
      </c>
      <c r="D39" s="58" t="s">
        <v>54</v>
      </c>
      <c r="E39" s="58">
        <v>0</v>
      </c>
      <c r="F39" s="59">
        <v>0</v>
      </c>
      <c r="G39" s="58">
        <v>0</v>
      </c>
      <c r="H39" s="6"/>
      <c r="I39" s="7" t="str">
        <f>IF(C39&gt;0,(C39/C$108)*I$106,"")</f>
        <v/>
      </c>
      <c r="J39" s="7"/>
      <c r="K39" s="50" t="str">
        <f>IF(C39&gt;0,I39*(G39/C39),"")</f>
        <v/>
      </c>
      <c r="M39" s="7" t="str">
        <f>IF(C39&gt;0,(C$111/C39)*$K$116,"")</f>
        <v/>
      </c>
    </row>
    <row r="40" spans="1:13" x14ac:dyDescent="0.25">
      <c r="A40" s="5">
        <v>32</v>
      </c>
      <c r="B40" s="55" t="s">
        <v>79</v>
      </c>
      <c r="C40" s="58">
        <v>18.399999999999999</v>
      </c>
      <c r="D40" s="58" t="s">
        <v>47</v>
      </c>
      <c r="E40" s="58">
        <v>11.9</v>
      </c>
      <c r="F40" s="59">
        <v>0.78700000000000003</v>
      </c>
      <c r="G40" s="58">
        <v>9.9</v>
      </c>
      <c r="H40" s="6"/>
      <c r="I40" s="7">
        <f>IF(C40&gt;0,(C40/C$108)*I$106,"")</f>
        <v>10.399886957750457</v>
      </c>
      <c r="J40" s="7"/>
      <c r="K40" s="50">
        <f>IF(C40&gt;0,I40*(G40/C40),"")</f>
        <v>5.5955913522679097</v>
      </c>
      <c r="M40" s="7">
        <f>IF(C40&gt;0,(C$111/C40)*$K$116,"")</f>
        <v>4.7500000000000009</v>
      </c>
    </row>
    <row r="41" spans="1:13" x14ac:dyDescent="0.25">
      <c r="A41" s="5">
        <v>33</v>
      </c>
      <c r="B41" s="55" t="s">
        <v>80</v>
      </c>
      <c r="C41" s="58">
        <v>30.7</v>
      </c>
      <c r="D41" s="58" t="s">
        <v>47</v>
      </c>
      <c r="E41" s="58">
        <v>18.8</v>
      </c>
      <c r="F41" s="59">
        <v>0.80200000000000005</v>
      </c>
      <c r="G41" s="58">
        <v>16.7</v>
      </c>
      <c r="H41" s="6"/>
      <c r="I41" s="7">
        <f>IF(C41&gt;0,(C41/C$108)*I$106,"")</f>
        <v>17.351985304507558</v>
      </c>
      <c r="J41" s="7"/>
      <c r="K41" s="50">
        <f>IF(C41&gt;0,I41*(G41/C41),"")</f>
        <v>9.4390278366539491</v>
      </c>
      <c r="M41" s="7">
        <f>IF(C41&gt;0,(C$111/C41)*$K$116,"")</f>
        <v>2.8469055374592838</v>
      </c>
    </row>
    <row r="42" spans="1:13" x14ac:dyDescent="0.25">
      <c r="A42" s="5">
        <v>34</v>
      </c>
      <c r="B42" s="55" t="s">
        <v>81</v>
      </c>
      <c r="C42" s="58">
        <v>7.7</v>
      </c>
      <c r="D42" s="58" t="s">
        <v>47</v>
      </c>
      <c r="E42" s="58">
        <v>5.2</v>
      </c>
      <c r="F42" s="59">
        <v>0.79900000000000004</v>
      </c>
      <c r="G42" s="58">
        <v>4.5</v>
      </c>
      <c r="H42" s="6"/>
      <c r="I42" s="7">
        <f>IF(C42&gt;0,(C42/C$108)*I$106,"")</f>
        <v>4.3521266073194855</v>
      </c>
      <c r="J42" s="7"/>
      <c r="K42" s="50">
        <f>IF(C42&gt;0,I42*(G42/C42),"")</f>
        <v>2.5434506146672318</v>
      </c>
      <c r="M42" s="7">
        <f>IF(C42&gt;0,(C$111/C42)*$K$116,"")</f>
        <v>11.350649350649352</v>
      </c>
    </row>
    <row r="43" spans="1:13" x14ac:dyDescent="0.25">
      <c r="A43" s="5">
        <v>35</v>
      </c>
      <c r="B43" s="55" t="s">
        <v>82</v>
      </c>
      <c r="C43" s="58">
        <v>1.1000000000000001</v>
      </c>
      <c r="D43" s="58" t="s">
        <v>47</v>
      </c>
      <c r="E43" s="58">
        <v>0.6</v>
      </c>
      <c r="F43" s="59">
        <v>0.72799999999999998</v>
      </c>
      <c r="G43" s="58">
        <v>0.5</v>
      </c>
      <c r="H43" s="6"/>
      <c r="I43" s="7">
        <f>IF(C43&gt;0,(C43/C$108)*I$106,"")</f>
        <v>0.6217323724742122</v>
      </c>
      <c r="J43" s="7"/>
      <c r="K43" s="50">
        <f>IF(C43&gt;0,I43*(G43/C43),"")</f>
        <v>0.28260562385191462</v>
      </c>
      <c r="M43" s="7">
        <f>IF(C43&gt;0,(C$111/C43)*$K$116,"")</f>
        <v>79.454545454545453</v>
      </c>
    </row>
    <row r="44" spans="1:13" x14ac:dyDescent="0.25">
      <c r="A44" s="5">
        <v>36</v>
      </c>
      <c r="B44" s="55" t="s">
        <v>83</v>
      </c>
      <c r="C44" s="58">
        <v>10.4</v>
      </c>
      <c r="D44" s="58" t="s">
        <v>47</v>
      </c>
      <c r="E44" s="58">
        <v>7.1</v>
      </c>
      <c r="F44" s="59">
        <v>0.80100000000000005</v>
      </c>
      <c r="G44" s="58">
        <v>6.1</v>
      </c>
      <c r="H44" s="6"/>
      <c r="I44" s="7">
        <f>IF(C44&gt;0,(C44/C$108)*I$106,"")</f>
        <v>5.8781969761198249</v>
      </c>
      <c r="J44" s="7"/>
      <c r="K44" s="50">
        <f>IF(C44&gt;0,I44*(G44/C44),"")</f>
        <v>3.4477886109933582</v>
      </c>
      <c r="M44" s="7">
        <f>IF(C44&gt;0,(C$111/C44)*$K$116,"")</f>
        <v>8.4038461538461533</v>
      </c>
    </row>
    <row r="45" spans="1:13" x14ac:dyDescent="0.25">
      <c r="A45" s="5">
        <v>37</v>
      </c>
      <c r="B45" s="55" t="s">
        <v>84</v>
      </c>
      <c r="C45" s="58">
        <v>0</v>
      </c>
      <c r="D45" s="58" t="s">
        <v>54</v>
      </c>
      <c r="E45" s="58">
        <v>0</v>
      </c>
      <c r="F45" s="59">
        <v>0</v>
      </c>
      <c r="G45" s="58">
        <v>0</v>
      </c>
      <c r="H45" s="6"/>
      <c r="I45" s="7" t="str">
        <f>IF(C45&gt;0,(C45/C$108)*I$106,"")</f>
        <v/>
      </c>
      <c r="J45" s="7"/>
      <c r="K45" s="50" t="str">
        <f>IF(C45&gt;0,I45*(G45/C45),"")</f>
        <v/>
      </c>
      <c r="M45" s="7" t="str">
        <f>IF(C45&gt;0,(C$111/C45)*$K$116,"")</f>
        <v/>
      </c>
    </row>
    <row r="46" spans="1:13" x14ac:dyDescent="0.25">
      <c r="A46" s="5">
        <v>38</v>
      </c>
      <c r="B46" s="55" t="s">
        <v>85</v>
      </c>
      <c r="C46" s="58">
        <v>9.1999999999999993</v>
      </c>
      <c r="D46" s="58" t="s">
        <v>47</v>
      </c>
      <c r="E46" s="58">
        <v>5.5</v>
      </c>
      <c r="F46" s="59">
        <v>0.77900000000000003</v>
      </c>
      <c r="G46" s="58">
        <v>4.7</v>
      </c>
      <c r="H46" s="6"/>
      <c r="I46" s="7">
        <f>IF(C46&gt;0,(C46/C$108)*I$106,"")</f>
        <v>5.1999434788752286</v>
      </c>
      <c r="J46" s="7"/>
      <c r="K46" s="50">
        <f>IF(C46&gt;0,I46*(G46/C46),"")</f>
        <v>2.6564928642079972</v>
      </c>
      <c r="M46" s="7">
        <f>IF(C46&gt;0,(C$111/C46)*$K$116,"")</f>
        <v>9.5000000000000018</v>
      </c>
    </row>
    <row r="47" spans="1:13" x14ac:dyDescent="0.25">
      <c r="A47" s="5">
        <v>39</v>
      </c>
      <c r="B47" s="55" t="s">
        <v>86</v>
      </c>
      <c r="C47" s="58">
        <v>32.700000000000003</v>
      </c>
      <c r="D47" s="58" t="s">
        <v>47</v>
      </c>
      <c r="E47" s="58">
        <v>20.100000000000001</v>
      </c>
      <c r="F47" s="59">
        <v>0.752</v>
      </c>
      <c r="G47" s="58">
        <v>17.600000000000001</v>
      </c>
      <c r="H47" s="6"/>
      <c r="I47" s="7">
        <f>IF(C47&gt;0,(C47/C$108)*I$106,"")</f>
        <v>18.482407799915219</v>
      </c>
      <c r="J47" s="7"/>
      <c r="K47" s="50">
        <f>IF(C47&gt;0,I47*(G47/C47),"")</f>
        <v>9.9477179595873952</v>
      </c>
      <c r="M47" s="7">
        <f>IF(C47&gt;0,(C$111/C47)*$K$116,"")</f>
        <v>2.6727828746177371</v>
      </c>
    </row>
    <row r="48" spans="1:13" x14ac:dyDescent="0.25">
      <c r="A48" s="5">
        <v>40</v>
      </c>
      <c r="B48" s="55" t="s">
        <v>87</v>
      </c>
      <c r="C48" s="58">
        <v>8.1</v>
      </c>
      <c r="D48" s="58" t="s">
        <v>47</v>
      </c>
      <c r="E48" s="58">
        <v>5</v>
      </c>
      <c r="F48" s="59">
        <v>0.77200000000000002</v>
      </c>
      <c r="G48" s="58">
        <v>4.2</v>
      </c>
      <c r="H48" s="6"/>
      <c r="I48" s="7">
        <f>IF(C48&gt;0,(C48/C$108)*I$106,"")</f>
        <v>4.5782111064010165</v>
      </c>
      <c r="J48" s="7"/>
      <c r="K48" s="50">
        <f>IF(C48&gt;0,I48*(G48/C48),"")</f>
        <v>2.3738872403560829</v>
      </c>
      <c r="M48" s="7">
        <f>IF(C48&gt;0,(C$111/C48)*$K$116,"")</f>
        <v>10.790123456790125</v>
      </c>
    </row>
    <row r="49" spans="1:13" x14ac:dyDescent="0.25">
      <c r="A49" s="5">
        <v>41</v>
      </c>
      <c r="B49" s="55" t="s">
        <v>88</v>
      </c>
      <c r="C49" s="58">
        <v>6.8</v>
      </c>
      <c r="D49" s="58" t="s">
        <v>47</v>
      </c>
      <c r="E49" s="58">
        <v>3.6</v>
      </c>
      <c r="F49" s="59">
        <v>0.755</v>
      </c>
      <c r="G49" s="58">
        <v>3.2</v>
      </c>
      <c r="H49" s="6"/>
      <c r="I49" s="7">
        <f>IF(C49&gt;0,(C49/C$108)*I$106,"")</f>
        <v>3.8434364843860389</v>
      </c>
      <c r="J49" s="7"/>
      <c r="K49" s="50">
        <f>IF(C49&gt;0,I49*(G49/C49),"")</f>
        <v>1.8086759926522538</v>
      </c>
      <c r="M49" s="7">
        <f>IF(C49&gt;0,(C$111/C49)*$K$116,"")</f>
        <v>12.852941176470589</v>
      </c>
    </row>
    <row r="50" spans="1:13" x14ac:dyDescent="0.25">
      <c r="A50" s="5">
        <v>42</v>
      </c>
      <c r="B50" s="55" t="s">
        <v>89</v>
      </c>
      <c r="C50" s="58">
        <v>10</v>
      </c>
      <c r="D50" s="58" t="s">
        <v>47</v>
      </c>
      <c r="E50" s="58">
        <v>6.5</v>
      </c>
      <c r="F50" s="59">
        <v>0.80200000000000005</v>
      </c>
      <c r="G50" s="58">
        <v>5.5</v>
      </c>
      <c r="H50" s="6"/>
      <c r="I50" s="7">
        <f>IF(C50&gt;0,(C50/C$108)*I$106,"")</f>
        <v>5.6521124770382931</v>
      </c>
      <c r="J50" s="7"/>
      <c r="K50" s="50">
        <f>IF(C50&gt;0,I50*(G50/C50),"")</f>
        <v>3.1086618623710613</v>
      </c>
      <c r="M50" s="7">
        <f>IF(C50&gt;0,(C$111/C50)*$K$116,"")</f>
        <v>8.74</v>
      </c>
    </row>
    <row r="51" spans="1:13" x14ac:dyDescent="0.25">
      <c r="A51" s="5">
        <v>43</v>
      </c>
      <c r="B51" s="55" t="s">
        <v>90</v>
      </c>
      <c r="C51" s="58">
        <v>0</v>
      </c>
      <c r="D51" s="58" t="s">
        <v>54</v>
      </c>
      <c r="E51" s="58">
        <v>0</v>
      </c>
      <c r="F51" s="59">
        <v>0</v>
      </c>
      <c r="G51" s="58">
        <v>0</v>
      </c>
      <c r="H51" s="6"/>
      <c r="I51" s="7" t="str">
        <f>IF(C51&gt;0,(C51/C$108)*I$106,"")</f>
        <v/>
      </c>
      <c r="J51" s="7"/>
      <c r="K51" s="50" t="str">
        <f>IF(C51&gt;0,I51*(G51/C51),"")</f>
        <v/>
      </c>
      <c r="M51" s="7" t="str">
        <f>IF(C51&gt;0,(C$111/C51)*$K$116,"")</f>
        <v/>
      </c>
    </row>
    <row r="52" spans="1:13" x14ac:dyDescent="0.25">
      <c r="A52" s="5">
        <v>44</v>
      </c>
      <c r="B52" s="55" t="s">
        <v>91</v>
      </c>
      <c r="C52" s="58">
        <v>10.8</v>
      </c>
      <c r="D52" s="58" t="s">
        <v>47</v>
      </c>
      <c r="E52" s="58">
        <v>7</v>
      </c>
      <c r="F52" s="59">
        <v>0.79400000000000004</v>
      </c>
      <c r="G52" s="58">
        <v>5.9</v>
      </c>
      <c r="H52" s="6"/>
      <c r="I52" s="7">
        <f>IF(C52&gt;0,(C52/C$108)*I$106,"")</f>
        <v>6.1042814752013559</v>
      </c>
      <c r="J52" s="7"/>
      <c r="K52" s="50">
        <f>IF(C52&gt;0,I52*(G52/C52),"")</f>
        <v>3.3347463614525923</v>
      </c>
      <c r="M52" s="7">
        <f>IF(C52&gt;0,(C$111/C52)*$K$116,"")</f>
        <v>8.0925925925925934</v>
      </c>
    </row>
    <row r="53" spans="1:13" x14ac:dyDescent="0.25">
      <c r="A53" s="5">
        <v>45</v>
      </c>
      <c r="B53" s="55" t="s">
        <v>92</v>
      </c>
      <c r="C53" s="58">
        <v>26.4</v>
      </c>
      <c r="D53" s="58" t="s">
        <v>47</v>
      </c>
      <c r="E53" s="58">
        <v>15.6</v>
      </c>
      <c r="F53" s="59">
        <v>0.77</v>
      </c>
      <c r="G53" s="58">
        <v>13.7</v>
      </c>
      <c r="H53" s="6"/>
      <c r="I53" s="7">
        <f>IF(C53&gt;0,(C53/C$108)*I$106,"")</f>
        <v>14.921576939381092</v>
      </c>
      <c r="J53" s="7"/>
      <c r="K53" s="50">
        <f>IF(C53&gt;0,I53*(G53/C53),"")</f>
        <v>7.7433940935424603</v>
      </c>
      <c r="M53" s="7">
        <f>IF(C53&gt;0,(C$111/C53)*$K$116,"")</f>
        <v>3.310606060606061</v>
      </c>
    </row>
    <row r="54" spans="1:13" x14ac:dyDescent="0.25">
      <c r="A54" s="5">
        <v>46</v>
      </c>
      <c r="B54" s="55" t="s">
        <v>93</v>
      </c>
      <c r="C54" s="58">
        <v>3.3</v>
      </c>
      <c r="D54" s="58" t="s">
        <v>47</v>
      </c>
      <c r="E54" s="58">
        <v>2</v>
      </c>
      <c r="F54" s="59">
        <v>0.81299999999999994</v>
      </c>
      <c r="G54" s="58">
        <v>1.6</v>
      </c>
      <c r="H54" s="6"/>
      <c r="I54" s="7">
        <f>IF(C54&gt;0,(C54/C$108)*I$106,"")</f>
        <v>1.8651971174226365</v>
      </c>
      <c r="J54" s="7"/>
      <c r="K54" s="50">
        <f>IF(C54&gt;0,I54*(G54/C54),"")</f>
        <v>0.90433799632612688</v>
      </c>
      <c r="M54" s="7">
        <f>IF(C54&gt;0,(C$111/C54)*$K$116,"")</f>
        <v>26.484848484848488</v>
      </c>
    </row>
    <row r="55" spans="1:13" x14ac:dyDescent="0.25">
      <c r="A55" s="5">
        <v>47</v>
      </c>
      <c r="B55" s="55" t="s">
        <v>94</v>
      </c>
      <c r="C55" s="58">
        <v>0.9</v>
      </c>
      <c r="D55" s="58" t="s">
        <v>47</v>
      </c>
      <c r="E55" s="58">
        <v>0.4</v>
      </c>
      <c r="F55" s="59">
        <v>0.71499999999999997</v>
      </c>
      <c r="G55" s="58">
        <v>0.4</v>
      </c>
      <c r="H55" s="6"/>
      <c r="I55" s="7">
        <f>IF(C55&gt;0,(C55/C$108)*I$106,"")</f>
        <v>0.50869012293344629</v>
      </c>
      <c r="J55" s="7"/>
      <c r="K55" s="50">
        <f>IF(C55&gt;0,I55*(G55/C55),"")</f>
        <v>0.22608449908153169</v>
      </c>
      <c r="M55" s="7">
        <f>IF(C55&gt;0,(C$111/C55)*$K$116,"")</f>
        <v>97.111111111111114</v>
      </c>
    </row>
    <row r="56" spans="1:13" x14ac:dyDescent="0.25">
      <c r="A56" s="5">
        <v>48</v>
      </c>
      <c r="B56" s="55" t="s">
        <v>95</v>
      </c>
      <c r="C56" s="58">
        <v>8.1999999999999993</v>
      </c>
      <c r="D56" s="58" t="s">
        <v>47</v>
      </c>
      <c r="E56" s="58">
        <v>5.2</v>
      </c>
      <c r="F56" s="59">
        <v>0.78600000000000003</v>
      </c>
      <c r="G56" s="58">
        <v>4.4000000000000004</v>
      </c>
      <c r="H56" s="6"/>
      <c r="I56" s="7">
        <f>IF(C56&gt;0,(C56/C$108)*I$106,"")</f>
        <v>4.6347322311713999</v>
      </c>
      <c r="J56" s="7"/>
      <c r="K56" s="50">
        <f>IF(C56&gt;0,I56*(G56/C56),"")</f>
        <v>2.4869294898968493</v>
      </c>
      <c r="M56" s="7">
        <f>IF(C56&gt;0,(C$111/C56)*$K$116,"")</f>
        <v>10.658536585365855</v>
      </c>
    </row>
    <row r="57" spans="1:13" x14ac:dyDescent="0.25">
      <c r="A57" s="5">
        <v>49</v>
      </c>
      <c r="B57" s="55" t="s">
        <v>96</v>
      </c>
      <c r="C57" s="58">
        <v>0</v>
      </c>
      <c r="D57" s="58" t="s">
        <v>54</v>
      </c>
      <c r="E57" s="58">
        <v>0</v>
      </c>
      <c r="F57" s="59">
        <v>0</v>
      </c>
      <c r="G57" s="58">
        <v>0</v>
      </c>
      <c r="H57" s="6"/>
      <c r="I57" s="7" t="str">
        <f>IF(C57&gt;0,(C57/C$108)*I$106,"")</f>
        <v/>
      </c>
      <c r="J57" s="7"/>
      <c r="K57" s="50" t="str">
        <f>IF(C57&gt;0,I57*(G57/C57),"")</f>
        <v/>
      </c>
      <c r="M57" s="7" t="str">
        <f>IF(C57&gt;0,(C$111/C57)*$K$116,"")</f>
        <v/>
      </c>
    </row>
    <row r="58" spans="1:13" x14ac:dyDescent="0.25">
      <c r="A58" s="5">
        <v>50</v>
      </c>
      <c r="B58" s="35"/>
      <c r="C58" s="36"/>
      <c r="D58" s="12"/>
      <c r="E58" s="12"/>
      <c r="F58" s="37"/>
      <c r="G58" s="38"/>
      <c r="H58" s="6"/>
      <c r="I58" s="7" t="str">
        <f t="shared" ref="I58:I72" si="0">IF(C58&gt;0,(C58/C$108)*I$106,"")</f>
        <v/>
      </c>
      <c r="J58" s="7"/>
      <c r="K58" s="50" t="str">
        <f t="shared" ref="K58:K72" si="1">IF(C58&gt;0,I58*(G58/C58),"")</f>
        <v/>
      </c>
      <c r="M58" s="7" t="str">
        <f t="shared" ref="M58:M65" si="2">IF(C58&gt;0,(C$111/C58)*$K$116,"")</f>
        <v/>
      </c>
    </row>
    <row r="59" spans="1:13" x14ac:dyDescent="0.25">
      <c r="A59" s="5">
        <v>51</v>
      </c>
      <c r="B59" s="35"/>
      <c r="C59" s="36"/>
      <c r="D59" s="12"/>
      <c r="E59" s="12"/>
      <c r="F59" s="37"/>
      <c r="G59" s="38"/>
      <c r="H59" s="6"/>
      <c r="I59" s="7" t="str">
        <f t="shared" si="0"/>
        <v/>
      </c>
      <c r="J59" s="7"/>
      <c r="K59" s="50" t="str">
        <f t="shared" si="1"/>
        <v/>
      </c>
      <c r="M59" s="7" t="str">
        <f t="shared" si="2"/>
        <v/>
      </c>
    </row>
    <row r="60" spans="1:13" x14ac:dyDescent="0.25">
      <c r="A60" s="5">
        <v>52</v>
      </c>
      <c r="B60" s="35"/>
      <c r="C60" s="36"/>
      <c r="D60" s="12"/>
      <c r="E60" s="12"/>
      <c r="F60" s="37"/>
      <c r="G60" s="38"/>
      <c r="H60" s="6"/>
      <c r="I60" s="7" t="str">
        <f t="shared" si="0"/>
        <v/>
      </c>
      <c r="J60" s="7"/>
      <c r="K60" s="50" t="str">
        <f t="shared" si="1"/>
        <v/>
      </c>
      <c r="M60" s="7" t="str">
        <f t="shared" si="2"/>
        <v/>
      </c>
    </row>
    <row r="61" spans="1:13" x14ac:dyDescent="0.25">
      <c r="A61" s="5">
        <v>53</v>
      </c>
      <c r="B61" s="35"/>
      <c r="C61" s="36"/>
      <c r="D61" s="12"/>
      <c r="E61" s="12"/>
      <c r="F61" s="37"/>
      <c r="G61" s="38"/>
      <c r="H61" s="6"/>
      <c r="I61" s="7" t="str">
        <f t="shared" si="0"/>
        <v/>
      </c>
      <c r="J61" s="7"/>
      <c r="K61" s="50" t="str">
        <f t="shared" si="1"/>
        <v/>
      </c>
      <c r="M61" s="7" t="str">
        <f t="shared" si="2"/>
        <v/>
      </c>
    </row>
    <row r="62" spans="1:13" x14ac:dyDescent="0.25">
      <c r="A62" s="5">
        <v>54</v>
      </c>
      <c r="B62" s="35"/>
      <c r="C62" s="36"/>
      <c r="D62" s="12"/>
      <c r="E62" s="12"/>
      <c r="F62" s="37"/>
      <c r="G62" s="38"/>
      <c r="H62" s="6"/>
      <c r="I62" s="7" t="str">
        <f t="shared" si="0"/>
        <v/>
      </c>
      <c r="J62" s="7"/>
      <c r="K62" s="50" t="str">
        <f t="shared" si="1"/>
        <v/>
      </c>
      <c r="M62" s="7" t="str">
        <f t="shared" si="2"/>
        <v/>
      </c>
    </row>
    <row r="63" spans="1:13" x14ac:dyDescent="0.25">
      <c r="A63" s="5">
        <v>55</v>
      </c>
      <c r="B63" s="35"/>
      <c r="C63" s="36"/>
      <c r="D63" s="12"/>
      <c r="E63" s="12"/>
      <c r="F63" s="37"/>
      <c r="G63" s="38"/>
      <c r="H63" s="6"/>
      <c r="I63" s="7" t="str">
        <f t="shared" si="0"/>
        <v/>
      </c>
      <c r="J63" s="7"/>
      <c r="K63" s="50" t="str">
        <f t="shared" si="1"/>
        <v/>
      </c>
      <c r="M63" s="7" t="str">
        <f t="shared" si="2"/>
        <v/>
      </c>
    </row>
    <row r="64" spans="1:13" x14ac:dyDescent="0.25">
      <c r="A64" s="5">
        <v>56</v>
      </c>
      <c r="B64" s="35"/>
      <c r="C64" s="36"/>
      <c r="D64" s="12"/>
      <c r="E64" s="12"/>
      <c r="F64" s="37"/>
      <c r="G64" s="38"/>
      <c r="H64" s="6"/>
      <c r="I64" s="7" t="str">
        <f t="shared" si="0"/>
        <v/>
      </c>
      <c r="J64" s="7"/>
      <c r="K64" s="50" t="str">
        <f t="shared" si="1"/>
        <v/>
      </c>
      <c r="M64" s="7" t="str">
        <f t="shared" si="2"/>
        <v/>
      </c>
    </row>
    <row r="65" spans="1:13" x14ac:dyDescent="0.25">
      <c r="A65" s="5">
        <v>57</v>
      </c>
      <c r="B65" s="35"/>
      <c r="C65" s="36"/>
      <c r="D65" s="12"/>
      <c r="E65" s="12"/>
      <c r="F65" s="37"/>
      <c r="G65" s="38"/>
      <c r="H65" s="6"/>
      <c r="I65" s="7" t="str">
        <f t="shared" si="0"/>
        <v/>
      </c>
      <c r="J65" s="7"/>
      <c r="K65" s="50" t="str">
        <f t="shared" si="1"/>
        <v/>
      </c>
      <c r="M65" s="7" t="str">
        <f t="shared" si="2"/>
        <v/>
      </c>
    </row>
    <row r="66" spans="1:13" x14ac:dyDescent="0.25">
      <c r="A66" s="5">
        <v>58</v>
      </c>
      <c r="B66" s="35"/>
      <c r="C66" s="12"/>
      <c r="D66" s="12"/>
      <c r="E66" s="12"/>
      <c r="F66" s="37"/>
      <c r="G66" s="38"/>
      <c r="H66" s="6"/>
      <c r="I66" s="7" t="str">
        <f t="shared" si="0"/>
        <v/>
      </c>
      <c r="J66" s="7"/>
      <c r="K66" s="50" t="str">
        <f t="shared" si="1"/>
        <v/>
      </c>
      <c r="M66" s="7" t="str">
        <f>IF(C66&gt;0,(#REF!/#REF!)*$K$116,"")</f>
        <v/>
      </c>
    </row>
    <row r="67" spans="1:13" x14ac:dyDescent="0.25">
      <c r="A67" s="5">
        <v>59</v>
      </c>
      <c r="B67" s="35"/>
      <c r="C67" s="12"/>
      <c r="D67" s="12"/>
      <c r="E67" s="12"/>
      <c r="F67" s="37"/>
      <c r="G67" s="38"/>
      <c r="H67" s="6"/>
      <c r="I67" s="7" t="str">
        <f t="shared" si="0"/>
        <v/>
      </c>
      <c r="J67" s="7"/>
      <c r="K67" s="50" t="str">
        <f t="shared" si="1"/>
        <v/>
      </c>
      <c r="M67" s="7" t="str">
        <f>IF(C67&gt;0,(#REF!/#REF!)*$K$116,"")</f>
        <v/>
      </c>
    </row>
    <row r="68" spans="1:13" x14ac:dyDescent="0.25">
      <c r="A68" s="5">
        <v>60</v>
      </c>
      <c r="B68" s="35"/>
      <c r="C68" s="12"/>
      <c r="D68" s="12"/>
      <c r="E68" s="12"/>
      <c r="F68" s="37"/>
      <c r="G68" s="38"/>
      <c r="H68" s="6"/>
      <c r="I68" s="7" t="str">
        <f t="shared" si="0"/>
        <v/>
      </c>
      <c r="J68" s="7"/>
      <c r="K68" s="50" t="str">
        <f t="shared" si="1"/>
        <v/>
      </c>
      <c r="M68" s="7" t="str">
        <f>IF(C68&gt;0,(#REF!/#REF!)*$K$116,"")</f>
        <v/>
      </c>
    </row>
    <row r="69" spans="1:13" x14ac:dyDescent="0.25">
      <c r="A69" s="5">
        <v>61</v>
      </c>
      <c r="B69" s="35"/>
      <c r="C69" s="12"/>
      <c r="D69" s="12"/>
      <c r="E69" s="12"/>
      <c r="F69" s="37"/>
      <c r="G69" s="38"/>
      <c r="H69" s="6"/>
      <c r="I69" s="7" t="str">
        <f t="shared" si="0"/>
        <v/>
      </c>
      <c r="J69" s="7"/>
      <c r="K69" s="50" t="str">
        <f t="shared" si="1"/>
        <v/>
      </c>
      <c r="M69" s="7" t="str">
        <f>IF(C69&gt;0,(#REF!/#REF!)*$K$116,"")</f>
        <v/>
      </c>
    </row>
    <row r="70" spans="1:13" x14ac:dyDescent="0.25">
      <c r="A70" s="5">
        <v>62</v>
      </c>
      <c r="B70" s="35"/>
      <c r="C70" s="12"/>
      <c r="D70" s="12"/>
      <c r="E70" s="12"/>
      <c r="F70" s="37"/>
      <c r="G70" s="38"/>
      <c r="H70" s="6"/>
      <c r="I70" s="7" t="str">
        <f t="shared" si="0"/>
        <v/>
      </c>
      <c r="J70" s="7"/>
      <c r="K70" s="50" t="str">
        <f t="shared" si="1"/>
        <v/>
      </c>
      <c r="M70" s="7" t="str">
        <f>IF(C70&gt;0,(#REF!/#REF!)*$K$116,"")</f>
        <v/>
      </c>
    </row>
    <row r="71" spans="1:13" x14ac:dyDescent="0.25">
      <c r="A71" s="5">
        <v>63</v>
      </c>
      <c r="B71" s="35"/>
      <c r="C71" s="12"/>
      <c r="D71" s="12"/>
      <c r="E71" s="12"/>
      <c r="F71" s="37"/>
      <c r="G71" s="38"/>
      <c r="H71" s="6"/>
      <c r="I71" s="7" t="str">
        <f t="shared" si="0"/>
        <v/>
      </c>
      <c r="J71" s="7"/>
      <c r="K71" s="50" t="str">
        <f t="shared" si="1"/>
        <v/>
      </c>
      <c r="M71" s="7" t="str">
        <f>IF(C71&gt;0,(#REF!/#REF!)*$K$116,"")</f>
        <v/>
      </c>
    </row>
    <row r="72" spans="1:13" x14ac:dyDescent="0.25">
      <c r="A72" s="5">
        <v>64</v>
      </c>
      <c r="B72" s="35"/>
      <c r="C72" s="12"/>
      <c r="D72" s="12"/>
      <c r="E72" s="12"/>
      <c r="F72" s="37"/>
      <c r="G72" s="38"/>
      <c r="H72" s="6"/>
      <c r="I72" s="7" t="str">
        <f t="shared" si="0"/>
        <v/>
      </c>
      <c r="J72" s="7"/>
      <c r="K72" s="50" t="str">
        <f t="shared" si="1"/>
        <v/>
      </c>
      <c r="M72" s="7" t="str">
        <f>IF(C72&gt;0,(#REF!/#REF!)*$K$116,"")</f>
        <v/>
      </c>
    </row>
    <row r="73" spans="1:13" x14ac:dyDescent="0.25">
      <c r="A73" s="5">
        <v>65</v>
      </c>
      <c r="B73" s="35"/>
      <c r="C73" s="12"/>
      <c r="D73" s="12"/>
      <c r="E73" s="12"/>
      <c r="F73" s="37"/>
      <c r="G73" s="38"/>
      <c r="H73" s="6"/>
      <c r="I73" s="7" t="str">
        <f t="shared" ref="I73:I104" si="3">IF(C73&gt;0,(C73/C$108)*I$106,"")</f>
        <v/>
      </c>
      <c r="J73" s="7"/>
      <c r="K73" s="50" t="str">
        <f t="shared" ref="K73:K104" si="4">IF(C73&gt;0,I73*(G73/C73),"")</f>
        <v/>
      </c>
      <c r="M73" s="7" t="str">
        <f>IF(C73&gt;0,(#REF!/#REF!)*$K$116,"")</f>
        <v/>
      </c>
    </row>
    <row r="74" spans="1:13" x14ac:dyDescent="0.25">
      <c r="A74" s="5">
        <v>66</v>
      </c>
      <c r="B74" s="35"/>
      <c r="C74" s="12"/>
      <c r="D74" s="12"/>
      <c r="E74" s="12"/>
      <c r="F74" s="37"/>
      <c r="G74" s="38"/>
      <c r="H74" s="6"/>
      <c r="I74" s="7" t="str">
        <f t="shared" si="3"/>
        <v/>
      </c>
      <c r="J74" s="7"/>
      <c r="K74" s="50" t="str">
        <f t="shared" si="4"/>
        <v/>
      </c>
      <c r="M74" s="7" t="str">
        <f>IF(C74&gt;0,(#REF!/#REF!)*$K$116,"")</f>
        <v/>
      </c>
    </row>
    <row r="75" spans="1:13" x14ac:dyDescent="0.25">
      <c r="A75" s="5">
        <v>67</v>
      </c>
      <c r="B75" s="35"/>
      <c r="C75" s="12"/>
      <c r="D75" s="12"/>
      <c r="E75" s="12"/>
      <c r="F75" s="37"/>
      <c r="G75" s="38"/>
      <c r="H75" s="6"/>
      <c r="I75" s="7" t="str">
        <f t="shared" si="3"/>
        <v/>
      </c>
      <c r="J75" s="7"/>
      <c r="K75" s="50" t="str">
        <f t="shared" si="4"/>
        <v/>
      </c>
      <c r="M75" s="7" t="str">
        <f>IF(C75&gt;0,(#REF!/#REF!)*$K$116,"")</f>
        <v/>
      </c>
    </row>
    <row r="76" spans="1:13" x14ac:dyDescent="0.25">
      <c r="A76" s="5">
        <v>68</v>
      </c>
      <c r="B76" s="35"/>
      <c r="C76" s="12"/>
      <c r="D76" s="12"/>
      <c r="E76" s="12"/>
      <c r="F76" s="37"/>
      <c r="G76" s="38"/>
      <c r="H76" s="6"/>
      <c r="I76" s="7" t="str">
        <f t="shared" si="3"/>
        <v/>
      </c>
      <c r="J76" s="7"/>
      <c r="K76" s="50" t="str">
        <f t="shared" si="4"/>
        <v/>
      </c>
      <c r="M76" s="7" t="str">
        <f>IF(C76&gt;0,(#REF!/#REF!)*$K$116,"")</f>
        <v/>
      </c>
    </row>
    <row r="77" spans="1:13" x14ac:dyDescent="0.25">
      <c r="A77" s="5">
        <v>69</v>
      </c>
      <c r="B77" s="35"/>
      <c r="C77" s="12"/>
      <c r="D77" s="12"/>
      <c r="E77" s="12"/>
      <c r="F77" s="37"/>
      <c r="G77" s="38"/>
      <c r="H77" s="6"/>
      <c r="I77" s="7" t="str">
        <f t="shared" si="3"/>
        <v/>
      </c>
      <c r="J77" s="7"/>
      <c r="K77" s="50" t="str">
        <f t="shared" si="4"/>
        <v/>
      </c>
      <c r="M77" s="7" t="str">
        <f>IF(C77&gt;0,(#REF!/#REF!)*$K$116,"")</f>
        <v/>
      </c>
    </row>
    <row r="78" spans="1:13" x14ac:dyDescent="0.25">
      <c r="A78" s="5">
        <v>70</v>
      </c>
      <c r="B78" s="35"/>
      <c r="C78" s="12"/>
      <c r="D78" s="12"/>
      <c r="E78" s="12"/>
      <c r="F78" s="37"/>
      <c r="G78" s="38"/>
      <c r="H78" s="6"/>
      <c r="I78" s="7" t="str">
        <f t="shared" si="3"/>
        <v/>
      </c>
      <c r="J78" s="7"/>
      <c r="K78" s="50" t="str">
        <f t="shared" si="4"/>
        <v/>
      </c>
      <c r="M78" s="7" t="str">
        <f>IF(C78&gt;0,(#REF!/#REF!)*$K$116,"")</f>
        <v/>
      </c>
    </row>
    <row r="79" spans="1:13" x14ac:dyDescent="0.25">
      <c r="A79" s="5">
        <v>71</v>
      </c>
      <c r="B79" s="35"/>
      <c r="C79" s="12"/>
      <c r="D79" s="12"/>
      <c r="E79" s="12"/>
      <c r="F79" s="37"/>
      <c r="G79" s="38"/>
      <c r="H79" s="6"/>
      <c r="I79" s="7" t="str">
        <f t="shared" si="3"/>
        <v/>
      </c>
      <c r="J79" s="7"/>
      <c r="K79" s="50" t="str">
        <f t="shared" si="4"/>
        <v/>
      </c>
      <c r="M79" s="7" t="str">
        <f>IF(C79&gt;0,(#REF!/#REF!)*$K$116,"")</f>
        <v/>
      </c>
    </row>
    <row r="80" spans="1:13" x14ac:dyDescent="0.25">
      <c r="A80" s="5">
        <v>72</v>
      </c>
      <c r="B80" s="35"/>
      <c r="C80" s="12"/>
      <c r="D80" s="12"/>
      <c r="E80" s="12"/>
      <c r="F80" s="37"/>
      <c r="G80" s="38"/>
      <c r="H80" s="6"/>
      <c r="I80" s="7" t="str">
        <f t="shared" si="3"/>
        <v/>
      </c>
      <c r="J80" s="7"/>
      <c r="K80" s="50" t="str">
        <f t="shared" si="4"/>
        <v/>
      </c>
      <c r="M80" s="7" t="str">
        <f>IF(C80&gt;0,(#REF!/#REF!)*$K$116,"")</f>
        <v/>
      </c>
    </row>
    <row r="81" spans="1:13" x14ac:dyDescent="0.25">
      <c r="A81" s="5">
        <v>73</v>
      </c>
      <c r="B81" s="35"/>
      <c r="C81" s="12"/>
      <c r="D81" s="12"/>
      <c r="E81" s="12"/>
      <c r="F81" s="37"/>
      <c r="G81" s="38"/>
      <c r="H81" s="6"/>
      <c r="I81" s="7" t="str">
        <f t="shared" si="3"/>
        <v/>
      </c>
      <c r="J81" s="7"/>
      <c r="K81" s="50" t="str">
        <f t="shared" si="4"/>
        <v/>
      </c>
      <c r="M81" s="7" t="str">
        <f>IF(C81&gt;0,(#REF!/#REF!)*$K$116,"")</f>
        <v/>
      </c>
    </row>
    <row r="82" spans="1:13" x14ac:dyDescent="0.25">
      <c r="A82" s="5">
        <v>74</v>
      </c>
      <c r="B82" s="35"/>
      <c r="C82" s="12"/>
      <c r="D82" s="12"/>
      <c r="E82" s="12"/>
      <c r="F82" s="37"/>
      <c r="G82" s="38"/>
      <c r="H82" s="6"/>
      <c r="I82" s="7" t="str">
        <f t="shared" si="3"/>
        <v/>
      </c>
      <c r="J82" s="7"/>
      <c r="K82" s="50" t="str">
        <f t="shared" si="4"/>
        <v/>
      </c>
      <c r="M82" s="7" t="str">
        <f>IF(C82&gt;0,(#REF!/#REF!)*$K$116,"")</f>
        <v/>
      </c>
    </row>
    <row r="83" spans="1:13" x14ac:dyDescent="0.25">
      <c r="A83" s="5">
        <v>75</v>
      </c>
      <c r="B83" s="35"/>
      <c r="C83" s="12"/>
      <c r="D83" s="12"/>
      <c r="E83" s="12"/>
      <c r="F83" s="37"/>
      <c r="G83" s="38"/>
      <c r="H83" s="6"/>
      <c r="I83" s="7" t="str">
        <f t="shared" si="3"/>
        <v/>
      </c>
      <c r="J83" s="7"/>
      <c r="K83" s="50" t="str">
        <f t="shared" si="4"/>
        <v/>
      </c>
      <c r="M83" s="7" t="str">
        <f>IF(C83&gt;0,(#REF!/#REF!)*$K$116,"")</f>
        <v/>
      </c>
    </row>
    <row r="84" spans="1:13" x14ac:dyDescent="0.25">
      <c r="A84" s="5">
        <v>76</v>
      </c>
      <c r="B84" s="35"/>
      <c r="C84" s="12"/>
      <c r="D84" s="12"/>
      <c r="E84" s="12"/>
      <c r="F84" s="37"/>
      <c r="G84" s="38"/>
      <c r="H84" s="6"/>
      <c r="I84" s="7" t="str">
        <f t="shared" si="3"/>
        <v/>
      </c>
      <c r="J84" s="7"/>
      <c r="K84" s="50" t="str">
        <f t="shared" si="4"/>
        <v/>
      </c>
      <c r="M84" s="7" t="str">
        <f>IF(C84&gt;0,(#REF!/#REF!)*$K$116,"")</f>
        <v/>
      </c>
    </row>
    <row r="85" spans="1:13" x14ac:dyDescent="0.25">
      <c r="A85" s="5">
        <v>77</v>
      </c>
      <c r="B85" s="35"/>
      <c r="C85" s="12"/>
      <c r="D85" s="12"/>
      <c r="E85" s="12"/>
      <c r="F85" s="37"/>
      <c r="G85" s="38"/>
      <c r="H85" s="6"/>
      <c r="I85" s="7" t="str">
        <f t="shared" si="3"/>
        <v/>
      </c>
      <c r="J85" s="7"/>
      <c r="K85" s="50" t="str">
        <f t="shared" si="4"/>
        <v/>
      </c>
      <c r="M85" s="7" t="str">
        <f>IF(C85&gt;0,(#REF!/#REF!)*$K$116,"")</f>
        <v/>
      </c>
    </row>
    <row r="86" spans="1:13" x14ac:dyDescent="0.25">
      <c r="A86" s="5">
        <v>78</v>
      </c>
      <c r="B86" s="35"/>
      <c r="C86" s="12"/>
      <c r="D86" s="12"/>
      <c r="E86" s="12"/>
      <c r="F86" s="37"/>
      <c r="G86" s="38"/>
      <c r="H86" s="6"/>
      <c r="I86" s="7" t="str">
        <f t="shared" si="3"/>
        <v/>
      </c>
      <c r="J86" s="7"/>
      <c r="K86" s="50" t="str">
        <f t="shared" si="4"/>
        <v/>
      </c>
      <c r="M86" s="7" t="str">
        <f>IF(C86&gt;0,(#REF!/#REF!)*$K$116,"")</f>
        <v/>
      </c>
    </row>
    <row r="87" spans="1:13" x14ac:dyDescent="0.25">
      <c r="A87" s="5">
        <v>79</v>
      </c>
      <c r="B87" s="35"/>
      <c r="C87" s="12"/>
      <c r="D87" s="12"/>
      <c r="E87" s="12"/>
      <c r="F87" s="37"/>
      <c r="G87" s="38"/>
      <c r="H87" s="6"/>
      <c r="I87" s="7" t="str">
        <f t="shared" si="3"/>
        <v/>
      </c>
      <c r="J87" s="7"/>
      <c r="K87" s="50" t="str">
        <f t="shared" si="4"/>
        <v/>
      </c>
      <c r="M87" s="7" t="str">
        <f>IF(C87&gt;0,(#REF!/#REF!)*$K$116,"")</f>
        <v/>
      </c>
    </row>
    <row r="88" spans="1:13" x14ac:dyDescent="0.25">
      <c r="A88" s="5">
        <v>80</v>
      </c>
      <c r="B88" s="35"/>
      <c r="C88" s="12"/>
      <c r="D88" s="12"/>
      <c r="E88" s="12"/>
      <c r="F88" s="37"/>
      <c r="G88" s="38"/>
      <c r="H88" s="6"/>
      <c r="I88" s="7" t="str">
        <f t="shared" si="3"/>
        <v/>
      </c>
      <c r="J88" s="7"/>
      <c r="K88" s="50" t="str">
        <f t="shared" si="4"/>
        <v/>
      </c>
      <c r="M88" s="7" t="str">
        <f>IF(C88&gt;0,(#REF!/#REF!)*$K$116,"")</f>
        <v/>
      </c>
    </row>
    <row r="89" spans="1:13" x14ac:dyDescent="0.25">
      <c r="A89" s="5">
        <v>81</v>
      </c>
      <c r="B89" s="35"/>
      <c r="C89" s="12"/>
      <c r="D89" s="12"/>
      <c r="E89" s="12"/>
      <c r="F89" s="37"/>
      <c r="G89" s="38"/>
      <c r="H89" s="6"/>
      <c r="I89" s="7" t="str">
        <f t="shared" si="3"/>
        <v/>
      </c>
      <c r="J89" s="7"/>
      <c r="K89" s="50" t="str">
        <f t="shared" si="4"/>
        <v/>
      </c>
      <c r="M89" s="7" t="str">
        <f>IF(C89&gt;0,(#REF!/#REF!)*$K$116,"")</f>
        <v/>
      </c>
    </row>
    <row r="90" spans="1:13" x14ac:dyDescent="0.25">
      <c r="A90" s="5">
        <v>82</v>
      </c>
      <c r="B90" s="35"/>
      <c r="C90" s="12"/>
      <c r="D90" s="12"/>
      <c r="E90" s="12"/>
      <c r="F90" s="37"/>
      <c r="G90" s="38"/>
      <c r="H90" s="6"/>
      <c r="I90" s="7" t="str">
        <f t="shared" si="3"/>
        <v/>
      </c>
      <c r="J90" s="7"/>
      <c r="K90" s="50" t="str">
        <f t="shared" si="4"/>
        <v/>
      </c>
      <c r="M90" s="7" t="str">
        <f>IF(C90&gt;0,(#REF!/#REF!)*$K$116,"")</f>
        <v/>
      </c>
    </row>
    <row r="91" spans="1:13" x14ac:dyDescent="0.25">
      <c r="A91" s="5">
        <v>83</v>
      </c>
      <c r="B91" s="35"/>
      <c r="C91" s="12"/>
      <c r="D91" s="12"/>
      <c r="E91" s="12"/>
      <c r="F91" s="37"/>
      <c r="G91" s="38"/>
      <c r="H91" s="6"/>
      <c r="I91" s="7" t="str">
        <f t="shared" si="3"/>
        <v/>
      </c>
      <c r="J91" s="7"/>
      <c r="K91" s="50" t="str">
        <f t="shared" si="4"/>
        <v/>
      </c>
      <c r="M91" s="7" t="str">
        <f>IF(C91&gt;0,(#REF!/#REF!)*$K$116,"")</f>
        <v/>
      </c>
    </row>
    <row r="92" spans="1:13" x14ac:dyDescent="0.25">
      <c r="A92" s="5">
        <v>84</v>
      </c>
      <c r="B92" s="35"/>
      <c r="C92" s="12"/>
      <c r="D92" s="12"/>
      <c r="E92" s="12"/>
      <c r="F92" s="37"/>
      <c r="G92" s="38"/>
      <c r="H92" s="6"/>
      <c r="I92" s="7" t="str">
        <f t="shared" si="3"/>
        <v/>
      </c>
      <c r="J92" s="7"/>
      <c r="K92" s="50" t="str">
        <f t="shared" si="4"/>
        <v/>
      </c>
      <c r="M92" s="7" t="str">
        <f>IF(C92&gt;0,(#REF!/#REF!)*$K$116,"")</f>
        <v/>
      </c>
    </row>
    <row r="93" spans="1:13" x14ac:dyDescent="0.25">
      <c r="A93" s="5">
        <v>85</v>
      </c>
      <c r="B93" s="35"/>
      <c r="C93" s="12"/>
      <c r="D93" s="12"/>
      <c r="E93" s="12"/>
      <c r="F93" s="37"/>
      <c r="G93" s="38"/>
      <c r="H93" s="6"/>
      <c r="I93" s="7" t="str">
        <f t="shared" si="3"/>
        <v/>
      </c>
      <c r="J93" s="7"/>
      <c r="K93" s="50" t="str">
        <f t="shared" si="4"/>
        <v/>
      </c>
      <c r="M93" s="7" t="str">
        <f>IF(C93&gt;0,(#REF!/#REF!)*$K$116,"")</f>
        <v/>
      </c>
    </row>
    <row r="94" spans="1:13" x14ac:dyDescent="0.25">
      <c r="A94" s="5">
        <v>86</v>
      </c>
      <c r="B94" s="35"/>
      <c r="C94" s="12"/>
      <c r="D94" s="12"/>
      <c r="E94" s="12"/>
      <c r="F94" s="37"/>
      <c r="G94" s="38"/>
      <c r="H94" s="6"/>
      <c r="I94" s="7" t="str">
        <f t="shared" si="3"/>
        <v/>
      </c>
      <c r="J94" s="7"/>
      <c r="K94" s="50" t="str">
        <f t="shared" si="4"/>
        <v/>
      </c>
      <c r="M94" s="7" t="str">
        <f>IF(C94&gt;0,(#REF!/#REF!)*$K$116,"")</f>
        <v/>
      </c>
    </row>
    <row r="95" spans="1:13" x14ac:dyDescent="0.25">
      <c r="A95" s="5">
        <v>87</v>
      </c>
      <c r="B95" s="35"/>
      <c r="C95" s="12"/>
      <c r="D95" s="12"/>
      <c r="E95" s="12"/>
      <c r="F95" s="37"/>
      <c r="G95" s="38"/>
      <c r="H95" s="6"/>
      <c r="I95" s="7" t="str">
        <f t="shared" si="3"/>
        <v/>
      </c>
      <c r="J95" s="7"/>
      <c r="K95" s="50" t="str">
        <f t="shared" si="4"/>
        <v/>
      </c>
      <c r="M95" s="7" t="str">
        <f>IF(C95&gt;0,(#REF!/#REF!)*$K$116,"")</f>
        <v/>
      </c>
    </row>
    <row r="96" spans="1:13" x14ac:dyDescent="0.25">
      <c r="A96" s="5">
        <v>88</v>
      </c>
      <c r="B96" s="35"/>
      <c r="C96" s="12"/>
      <c r="D96" s="12"/>
      <c r="E96" s="12"/>
      <c r="F96" s="37"/>
      <c r="G96" s="38"/>
      <c r="H96" s="6"/>
      <c r="I96" s="7" t="str">
        <f t="shared" si="3"/>
        <v/>
      </c>
      <c r="J96" s="7"/>
      <c r="K96" s="50" t="str">
        <f t="shared" si="4"/>
        <v/>
      </c>
      <c r="M96" s="7" t="str">
        <f>IF(C96&gt;0,(#REF!/#REF!)*$K$116,"")</f>
        <v/>
      </c>
    </row>
    <row r="97" spans="1:17" x14ac:dyDescent="0.25">
      <c r="A97" s="5">
        <v>89</v>
      </c>
      <c r="B97" s="35"/>
      <c r="C97" s="12"/>
      <c r="D97" s="12"/>
      <c r="E97" s="12"/>
      <c r="F97" s="37"/>
      <c r="G97" s="38"/>
      <c r="H97" s="6"/>
      <c r="I97" s="7" t="str">
        <f t="shared" si="3"/>
        <v/>
      </c>
      <c r="J97" s="7"/>
      <c r="K97" s="50" t="str">
        <f t="shared" si="4"/>
        <v/>
      </c>
      <c r="M97" s="7" t="str">
        <f>IF(C97&gt;0,(#REF!/#REF!)*$K$116,"")</f>
        <v/>
      </c>
    </row>
    <row r="98" spans="1:17" x14ac:dyDescent="0.25">
      <c r="A98" s="5">
        <v>90</v>
      </c>
      <c r="B98" s="35"/>
      <c r="C98" s="12"/>
      <c r="D98" s="12"/>
      <c r="E98" s="12"/>
      <c r="F98" s="37"/>
      <c r="G98" s="38"/>
      <c r="H98" s="6"/>
      <c r="I98" s="7" t="str">
        <f t="shared" si="3"/>
        <v/>
      </c>
      <c r="J98" s="7"/>
      <c r="K98" s="50" t="str">
        <f t="shared" si="4"/>
        <v/>
      </c>
      <c r="M98" s="7" t="str">
        <f>IF(C98&gt;0,(#REF!/#REF!)*$K$116,"")</f>
        <v/>
      </c>
    </row>
    <row r="99" spans="1:17" x14ac:dyDescent="0.25">
      <c r="A99" s="5">
        <v>91</v>
      </c>
      <c r="B99" s="39"/>
      <c r="C99" s="12"/>
      <c r="D99" s="21"/>
      <c r="E99" s="9"/>
      <c r="F99" s="40"/>
      <c r="G99" s="41"/>
      <c r="H99" s="6"/>
      <c r="I99" s="7" t="str">
        <f t="shared" si="3"/>
        <v/>
      </c>
      <c r="J99" s="8"/>
      <c r="K99" s="50" t="str">
        <f t="shared" si="4"/>
        <v/>
      </c>
      <c r="M99" s="7" t="str">
        <f>IF(C99&gt;0,(#REF!/#REF!)*$K$116,"")</f>
        <v/>
      </c>
    </row>
    <row r="100" spans="1:17" x14ac:dyDescent="0.25">
      <c r="A100" s="5">
        <v>92</v>
      </c>
      <c r="B100" s="39"/>
      <c r="C100" s="12"/>
      <c r="D100" s="21"/>
      <c r="E100" s="9"/>
      <c r="F100" s="40"/>
      <c r="G100" s="41"/>
      <c r="H100" s="6"/>
      <c r="I100" s="7" t="str">
        <f t="shared" si="3"/>
        <v/>
      </c>
      <c r="J100" s="8"/>
      <c r="K100" s="50" t="str">
        <f t="shared" si="4"/>
        <v/>
      </c>
      <c r="M100" s="7" t="str">
        <f>IF(C100&gt;0,(#REF!/#REF!)*$K$116,"")</f>
        <v/>
      </c>
    </row>
    <row r="101" spans="1:17" x14ac:dyDescent="0.25">
      <c r="A101" s="5">
        <v>93</v>
      </c>
      <c r="B101" s="39"/>
      <c r="C101" s="12"/>
      <c r="D101" s="21"/>
      <c r="E101" s="9"/>
      <c r="F101" s="40"/>
      <c r="G101" s="41"/>
      <c r="H101" s="6"/>
      <c r="I101" s="7" t="str">
        <f t="shared" si="3"/>
        <v/>
      </c>
      <c r="J101" s="8"/>
      <c r="K101" s="50" t="str">
        <f t="shared" si="4"/>
        <v/>
      </c>
      <c r="M101" s="7" t="str">
        <f>IF(C101&gt;0,(#REF!/#REF!)*$K$116,"")</f>
        <v/>
      </c>
      <c r="N101" s="5"/>
      <c r="Q101" s="4"/>
    </row>
    <row r="102" spans="1:17" x14ac:dyDescent="0.25">
      <c r="A102" s="5">
        <v>94</v>
      </c>
      <c r="B102" s="42"/>
      <c r="C102" s="43"/>
      <c r="E102" s="9"/>
      <c r="F102" s="9"/>
      <c r="G102" s="44"/>
      <c r="I102" s="7" t="str">
        <f t="shared" si="3"/>
        <v/>
      </c>
      <c r="K102" s="50" t="str">
        <f t="shared" si="4"/>
        <v/>
      </c>
      <c r="M102" s="7" t="str">
        <f>IF(C102&gt;0,(#REF!/#REF!)*$K$116,"")</f>
        <v/>
      </c>
      <c r="N102" s="5"/>
      <c r="Q102" s="4"/>
    </row>
    <row r="103" spans="1:17" x14ac:dyDescent="0.25">
      <c r="A103" s="5">
        <v>95</v>
      </c>
      <c r="B103" s="42"/>
      <c r="C103" s="43"/>
      <c r="E103" s="9"/>
      <c r="F103" s="9"/>
      <c r="G103" s="44"/>
      <c r="I103" s="7" t="str">
        <f t="shared" si="3"/>
        <v/>
      </c>
      <c r="K103" s="50" t="str">
        <f t="shared" si="4"/>
        <v/>
      </c>
      <c r="M103" s="7" t="str">
        <f>IF(C103&gt;0,(#REF!/#REF!)*$K$116,"")</f>
        <v/>
      </c>
      <c r="N103" s="5"/>
      <c r="Q103" s="4"/>
    </row>
    <row r="104" spans="1:17" ht="20" thickBot="1" x14ac:dyDescent="0.3">
      <c r="A104" s="5">
        <v>96</v>
      </c>
      <c r="B104" s="45"/>
      <c r="C104" s="46"/>
      <c r="D104" s="22"/>
      <c r="E104" s="22"/>
      <c r="F104" s="22"/>
      <c r="G104" s="47"/>
      <c r="I104" s="7" t="str">
        <f t="shared" si="3"/>
        <v/>
      </c>
      <c r="K104" s="50" t="str">
        <f t="shared" si="4"/>
        <v/>
      </c>
      <c r="M104" s="7" t="str">
        <f>IF(C104&gt;0,(#REF!/#REF!)*$K$116,"")</f>
        <v/>
      </c>
      <c r="N104" s="5"/>
      <c r="Q104" s="4"/>
    </row>
    <row r="105" spans="1:17" ht="21" customHeight="1" x14ac:dyDescent="0.25">
      <c r="N105" s="5"/>
      <c r="Q105" s="4"/>
    </row>
    <row r="106" spans="1:17" ht="39" customHeight="1" x14ac:dyDescent="0.25">
      <c r="H106" s="10" t="s">
        <v>22</v>
      </c>
      <c r="I106" s="56">
        <v>400</v>
      </c>
      <c r="N106" s="5"/>
      <c r="Q106" s="4"/>
    </row>
    <row r="107" spans="1:17" x14ac:dyDescent="0.25">
      <c r="B107" s="5" t="s">
        <v>1</v>
      </c>
      <c r="C107" s="11">
        <f>COUNTIF(C$9:C$104,"&gt;0")</f>
        <v>40</v>
      </c>
      <c r="F107" s="3" t="s">
        <v>1</v>
      </c>
      <c r="G107" s="11">
        <f>COUNTIF(G$9:G$104,"&gt;0")</f>
        <v>40</v>
      </c>
      <c r="H107" s="12" t="s">
        <v>1</v>
      </c>
      <c r="I107" s="9">
        <f>COUNTIF(I$9:I$104,"&gt;0")</f>
        <v>40</v>
      </c>
      <c r="J107" s="12" t="s">
        <v>1</v>
      </c>
      <c r="K107" s="9">
        <f>COUNTIF(K$9:K$104,"&gt;0")</f>
        <v>40</v>
      </c>
      <c r="N107" s="5"/>
      <c r="O107" s="4"/>
    </row>
    <row r="108" spans="1:17" ht="38" customHeight="1" x14ac:dyDescent="0.25">
      <c r="B108" s="13" t="s">
        <v>10</v>
      </c>
      <c r="C108" s="14">
        <f>SUM(C$9:C$104)</f>
        <v>707.7</v>
      </c>
      <c r="F108" s="13" t="s">
        <v>11</v>
      </c>
      <c r="G108" s="11">
        <f>SUM(G$9:G$104)</f>
        <v>378.2</v>
      </c>
      <c r="H108" s="15" t="s">
        <v>13</v>
      </c>
      <c r="I108" s="9">
        <f>SUM(I$9:I$104)</f>
        <v>400</v>
      </c>
      <c r="J108" s="15" t="s">
        <v>19</v>
      </c>
      <c r="K108" s="49">
        <f>SUM(K$9:K$104)</f>
        <v>213.76289388158821</v>
      </c>
      <c r="N108" s="5"/>
      <c r="O108" s="4"/>
    </row>
    <row r="109" spans="1:17" ht="77" x14ac:dyDescent="0.25">
      <c r="B109" s="16" t="s">
        <v>6</v>
      </c>
      <c r="C109" s="14">
        <f>AVERAGE(C$9:C$104)</f>
        <v>14.74375</v>
      </c>
      <c r="F109" s="16" t="s">
        <v>39</v>
      </c>
      <c r="G109" s="14">
        <f>AVERAGE(G$9:G$104)</f>
        <v>7.8791666666666664</v>
      </c>
      <c r="H109" s="17" t="s">
        <v>14</v>
      </c>
      <c r="I109" s="49">
        <f>AVERAGEIF(I$9:I$104,"&lt;&gt;0")</f>
        <v>10</v>
      </c>
      <c r="J109" s="17" t="s">
        <v>18</v>
      </c>
      <c r="K109" s="49">
        <f>AVERAGE(K$9:K$104)</f>
        <v>5.3440723470397051</v>
      </c>
      <c r="N109" s="5"/>
      <c r="O109" s="4"/>
    </row>
    <row r="110" spans="1:17" ht="77" x14ac:dyDescent="0.25">
      <c r="B110" s="16" t="s">
        <v>7</v>
      </c>
      <c r="C110" s="14">
        <f>MIN(C$9:C$104)</f>
        <v>0</v>
      </c>
      <c r="F110" s="16" t="s">
        <v>40</v>
      </c>
      <c r="G110" s="14">
        <f>MIN(G$9:G$104)</f>
        <v>0</v>
      </c>
      <c r="H110" s="17" t="s">
        <v>15</v>
      </c>
      <c r="I110" s="49">
        <f>MIN(I$9:I$104)</f>
        <v>0.50869012293344629</v>
      </c>
      <c r="J110" s="17" t="s">
        <v>20</v>
      </c>
      <c r="K110" s="49">
        <f>MIN(K$9:K$104)</f>
        <v>0.22608449908153169</v>
      </c>
      <c r="N110" s="5"/>
      <c r="O110" s="4"/>
    </row>
    <row r="111" spans="1:17" ht="77" x14ac:dyDescent="0.25">
      <c r="B111" s="16" t="s">
        <v>8</v>
      </c>
      <c r="C111" s="14">
        <f>MAX(C$9:C$104)</f>
        <v>43.7</v>
      </c>
      <c r="F111" s="16" t="s">
        <v>41</v>
      </c>
      <c r="G111" s="14">
        <f>MAX(G$9:G$104)</f>
        <v>24.7</v>
      </c>
      <c r="H111" s="17" t="s">
        <v>16</v>
      </c>
      <c r="I111" s="49">
        <f>MAX(I$9:I$104)</f>
        <v>24.699731524657338</v>
      </c>
      <c r="J111" s="17" t="s">
        <v>21</v>
      </c>
      <c r="K111" s="49">
        <f>MAX(K$9:K$104)</f>
        <v>13.960717818284584</v>
      </c>
      <c r="N111" s="5"/>
      <c r="O111" s="4"/>
    </row>
    <row r="112" spans="1:17" ht="39" x14ac:dyDescent="0.25">
      <c r="B112" s="16" t="s">
        <v>2</v>
      </c>
      <c r="C112" s="14">
        <f>STDEV(C$9:C$104)</f>
        <v>12.967683338600335</v>
      </c>
      <c r="F112" s="16" t="s">
        <v>2</v>
      </c>
      <c r="G112" s="14">
        <f>STDEV(G$9:G$104)</f>
        <v>7.0132384947609747</v>
      </c>
      <c r="H112" s="17" t="s">
        <v>2</v>
      </c>
      <c r="I112" s="49">
        <f>STDEV(I$9:I$104)</f>
        <v>6.9026819130166235</v>
      </c>
      <c r="J112" s="17" t="s">
        <v>2</v>
      </c>
      <c r="K112" s="49">
        <f>STDEV(K$9:K$104)</f>
        <v>3.7489021392427149</v>
      </c>
      <c r="N112" s="5"/>
      <c r="O112" s="4"/>
    </row>
    <row r="113" spans="2:11" ht="40" x14ac:dyDescent="0.25">
      <c r="B113" s="18" t="s">
        <v>9</v>
      </c>
      <c r="C113" s="19" t="e">
        <f>C111/C110</f>
        <v>#DIV/0!</v>
      </c>
      <c r="F113" s="18" t="s">
        <v>9</v>
      </c>
      <c r="G113" s="19" t="e">
        <f>G111/G110</f>
        <v>#DIV/0!</v>
      </c>
      <c r="H113" s="20" t="s">
        <v>9</v>
      </c>
      <c r="I113" s="50">
        <f>I111/I110</f>
        <v>48.555555555555557</v>
      </c>
      <c r="J113" s="20" t="s">
        <v>9</v>
      </c>
      <c r="K113" s="50">
        <f>K111/K110</f>
        <v>61.750000000000007</v>
      </c>
    </row>
    <row r="114" spans="2:11" ht="20" x14ac:dyDescent="0.25">
      <c r="B114" s="3"/>
      <c r="C114" s="18"/>
      <c r="E114" s="7"/>
      <c r="H114" s="17" t="s">
        <v>30</v>
      </c>
      <c r="I114" s="51">
        <f>PERCENTILE(I$9:I$104,0.1)</f>
        <v>2.6169280768687297</v>
      </c>
      <c r="K114" s="51">
        <f>PERCENTILE(K$9:K$104,0.1)</f>
        <v>1.3395506570580753</v>
      </c>
    </row>
    <row r="115" spans="2:11" x14ac:dyDescent="0.25">
      <c r="I115" s="9"/>
    </row>
    <row r="116" spans="2:11" x14ac:dyDescent="0.25">
      <c r="I116" s="9"/>
      <c r="J116" s="5" t="s">
        <v>35</v>
      </c>
      <c r="K116" s="54">
        <v>2</v>
      </c>
    </row>
    <row r="117" spans="2:11" x14ac:dyDescent="0.25">
      <c r="H117" s="9" t="s">
        <v>23</v>
      </c>
      <c r="I117" s="52">
        <v>1.2</v>
      </c>
    </row>
    <row r="118" spans="2:11" x14ac:dyDescent="0.25">
      <c r="H118" s="9" t="s">
        <v>24</v>
      </c>
      <c r="I118" s="52">
        <f>I117*I106</f>
        <v>480</v>
      </c>
    </row>
    <row r="119" spans="2:11" x14ac:dyDescent="0.25">
      <c r="H119" s="9" t="s">
        <v>4</v>
      </c>
      <c r="I119" s="52">
        <f>I118/I107</f>
        <v>12</v>
      </c>
    </row>
    <row r="120" spans="2:11" x14ac:dyDescent="0.25">
      <c r="H120" s="9"/>
      <c r="I120" s="9"/>
    </row>
    <row r="121" spans="2:11" x14ac:dyDescent="0.25">
      <c r="H121" s="9" t="s">
        <v>29</v>
      </c>
      <c r="I121" s="53">
        <v>12</v>
      </c>
    </row>
    <row r="122" spans="2:11" x14ac:dyDescent="0.25">
      <c r="H122" s="9" t="s">
        <v>25</v>
      </c>
      <c r="I122" s="9">
        <f>I121*I107</f>
        <v>480</v>
      </c>
    </row>
    <row r="123" spans="2:11" x14ac:dyDescent="0.25">
      <c r="H123" s="9" t="s">
        <v>26</v>
      </c>
      <c r="I123" s="52">
        <f>I122*I117</f>
        <v>576</v>
      </c>
    </row>
    <row r="124" spans="2:11" x14ac:dyDescent="0.25">
      <c r="H124" s="9" t="s">
        <v>27</v>
      </c>
      <c r="I124" s="52">
        <f>I123/I107</f>
        <v>14.4</v>
      </c>
    </row>
    <row r="125" spans="2:11" x14ac:dyDescent="0.25">
      <c r="H125" s="9" t="s">
        <v>28</v>
      </c>
      <c r="I125" s="50">
        <f>(G108/C108)*I121</f>
        <v>6.4128868164476467</v>
      </c>
    </row>
  </sheetData>
  <phoneticPr fontId="2" type="noConversion"/>
  <conditionalFormatting sqref="K8:K106 M105:M106 K115:K1048576">
    <cfRule type="cellIs" dxfId="2" priority="2" operator="greaterThan">
      <formula>4000000</formula>
    </cfRule>
  </conditionalFormatting>
  <conditionalFormatting sqref="K9:K104">
    <cfRule type="cellIs" dxfId="1" priority="1" operator="greaterThanOrEqual">
      <formula>4</formula>
    </cfRule>
    <cfRule type="cellIs" dxfId="0" priority="3" operator="greaterThanOrEqual">
      <formula>4000000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EG06SH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Muegge, Brian</dc:creator>
  <cp:lastModifiedBy>Olszowy, Bart</cp:lastModifiedBy>
  <dcterms:created xsi:type="dcterms:W3CDTF">2023-10-30T16:59:44Z</dcterms:created>
  <dcterms:modified xsi:type="dcterms:W3CDTF">2025-10-17T17:18:45Z</dcterms:modified>
</cp:coreProperties>
</file>